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.rosset\OneDrive - Action\DesktopCitrix\"/>
    </mc:Choice>
  </mc:AlternateContent>
  <xr:revisionPtr revIDLastSave="0" documentId="8_{41BB8AB1-1723-44FC-8C82-902ED12E87C9}" xr6:coauthVersionLast="44" xr6:coauthVersionMax="44" xr10:uidLastSave="{00000000-0000-0000-0000-000000000000}"/>
  <bookViews>
    <workbookView xWindow="19080" yWindow="-120" windowWidth="19440" windowHeight="15000" xr2:uid="{9090369B-750F-4A2A-ABE2-72568D3FCCA1}"/>
  </bookViews>
  <sheets>
    <sheet name="Data" sheetId="1" r:id="rId1"/>
    <sheet name="Workload" sheetId="2" r:id="rId2"/>
  </sheets>
  <definedNames>
    <definedName name="_xlnm._FilterDatabase" localSheetId="0" hidden="1">Data!$A$1:$AB$55</definedName>
    <definedName name="DataStart">Data!#REF!</definedName>
    <definedName name="_xlnm.Print_Area" localSheetId="1">Workload!$K$1:$Q$38</definedName>
  </definedNames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B3" i="2" s="1"/>
  <c r="F3" i="2"/>
  <c r="G3" i="2"/>
  <c r="H3" i="2"/>
  <c r="I3" i="2"/>
  <c r="A4" i="2"/>
  <c r="C4" i="2" s="1"/>
  <c r="D4" i="2"/>
  <c r="E4" i="2" s="1"/>
  <c r="G4" i="2"/>
  <c r="H4" i="2"/>
  <c r="I4" i="2"/>
  <c r="A5" i="2"/>
  <c r="G5" i="2" s="1"/>
  <c r="A6" i="2"/>
  <c r="B6" i="2" s="1"/>
  <c r="A7" i="2"/>
  <c r="H7" i="2" s="1"/>
  <c r="C7" i="2"/>
  <c r="I7" i="2"/>
  <c r="A8" i="2"/>
  <c r="D8" i="2" s="1"/>
  <c r="E8" i="2" s="1"/>
  <c r="G8" i="2"/>
  <c r="I8" i="2"/>
  <c r="A9" i="2"/>
  <c r="G9" i="2" s="1"/>
  <c r="F9" i="2"/>
  <c r="A10" i="2"/>
  <c r="B10" i="2" s="1"/>
  <c r="D10" i="2"/>
  <c r="E10" i="2" s="1"/>
  <c r="A11" i="2"/>
  <c r="B11" i="2" s="1"/>
  <c r="C11" i="2"/>
  <c r="D11" i="2"/>
  <c r="E11" i="2" s="1"/>
  <c r="A12" i="2"/>
  <c r="H12" i="2" s="1"/>
  <c r="C12" i="2"/>
  <c r="F12" i="2"/>
  <c r="G12" i="2"/>
  <c r="I12" i="2"/>
  <c r="A13" i="2"/>
  <c r="G13" i="2" s="1"/>
  <c r="I13" i="2"/>
  <c r="A14" i="2"/>
  <c r="I14" i="2" s="1"/>
  <c r="B14" i="2"/>
  <c r="A15" i="2"/>
  <c r="H15" i="2" s="1"/>
  <c r="C15" i="2"/>
  <c r="A16" i="2"/>
  <c r="D16" i="2" s="1"/>
  <c r="E16" i="2" s="1"/>
  <c r="B16" i="2"/>
  <c r="A17" i="2"/>
  <c r="A18" i="2"/>
  <c r="B18" i="2" s="1"/>
  <c r="A19" i="2"/>
  <c r="B19" i="2" s="1"/>
  <c r="C19" i="2"/>
  <c r="A20" i="2"/>
  <c r="H20" i="2" s="1"/>
  <c r="C20" i="2"/>
  <c r="F20" i="2"/>
  <c r="A21" i="2"/>
  <c r="G21" i="2" s="1"/>
  <c r="B21" i="2"/>
  <c r="A22" i="2"/>
  <c r="A23" i="2"/>
  <c r="A24" i="2"/>
  <c r="D24" i="2" s="1"/>
  <c r="E24" i="2" s="1"/>
  <c r="F24" i="2"/>
  <c r="G24" i="2"/>
  <c r="H24" i="2"/>
  <c r="I24" i="2"/>
  <c r="A25" i="2"/>
  <c r="G25" i="2" s="1"/>
  <c r="A26" i="2"/>
  <c r="B26" i="2" s="1"/>
  <c r="D26" i="2"/>
  <c r="E26" i="2" s="1"/>
  <c r="F26" i="2"/>
  <c r="G26" i="2"/>
  <c r="A27" i="2"/>
  <c r="B27" i="2" s="1"/>
  <c r="A28" i="2"/>
  <c r="H28" i="2" s="1"/>
  <c r="B28" i="2"/>
  <c r="A29" i="2"/>
  <c r="B29" i="2" s="1"/>
  <c r="I29" i="2"/>
  <c r="A30" i="2"/>
  <c r="D30" i="2" s="1"/>
  <c r="E30" i="2" s="1"/>
  <c r="A31" i="2"/>
  <c r="H31" i="2" s="1"/>
  <c r="C31" i="2"/>
  <c r="A32" i="2"/>
  <c r="D32" i="2" s="1"/>
  <c r="E32" i="2" s="1"/>
  <c r="B32" i="2"/>
  <c r="G32" i="2"/>
  <c r="A33" i="2"/>
  <c r="F33" i="2" s="1"/>
  <c r="I33" i="2"/>
  <c r="A34" i="2"/>
  <c r="B34" i="2" s="1"/>
  <c r="D34" i="2"/>
  <c r="E34" i="2" s="1"/>
  <c r="I34" i="2"/>
  <c r="A35" i="2"/>
  <c r="B35" i="2" s="1"/>
  <c r="A36" i="2"/>
  <c r="F36" i="2" s="1"/>
  <c r="A37" i="2"/>
  <c r="I37" i="2" s="1"/>
  <c r="A38" i="2"/>
  <c r="D38" i="2" s="1"/>
  <c r="E38" i="2" s="1"/>
  <c r="B38" i="2"/>
  <c r="H38" i="2"/>
  <c r="I38" i="2"/>
  <c r="A39" i="2"/>
  <c r="I39" i="2" s="1"/>
  <c r="A40" i="2"/>
  <c r="D40" i="2" s="1"/>
  <c r="E40" i="2" s="1"/>
  <c r="A41" i="2"/>
  <c r="F41" i="2" s="1"/>
  <c r="A42" i="2"/>
  <c r="B42" i="2" s="1"/>
  <c r="D42" i="2"/>
  <c r="E42" i="2" s="1"/>
  <c r="G42" i="2"/>
  <c r="H42" i="2"/>
  <c r="I42" i="2"/>
  <c r="A43" i="2"/>
  <c r="B43" i="2" s="1"/>
  <c r="A44" i="2"/>
  <c r="D44" i="2" s="1"/>
  <c r="E44" i="2" s="1"/>
  <c r="B44" i="2"/>
  <c r="H44" i="2"/>
  <c r="I44" i="2"/>
  <c r="A45" i="2"/>
  <c r="B45" i="2" s="1"/>
  <c r="A46" i="2"/>
  <c r="A47" i="2"/>
  <c r="F47" i="2" s="1"/>
  <c r="B47" i="2"/>
  <c r="C47" i="2"/>
  <c r="I47" i="2"/>
  <c r="A48" i="2"/>
  <c r="D48" i="2" s="1"/>
  <c r="E48" i="2" s="1"/>
  <c r="A49" i="2"/>
  <c r="F49" i="2" s="1"/>
  <c r="A50" i="2"/>
  <c r="F50" i="2" s="1"/>
  <c r="A51" i="2"/>
  <c r="B51" i="2" s="1"/>
  <c r="A52" i="2"/>
  <c r="F52" i="2" s="1"/>
  <c r="B52" i="2"/>
  <c r="D52" i="2"/>
  <c r="E52" i="2" s="1"/>
  <c r="A53" i="2"/>
  <c r="F53" i="2" s="1"/>
  <c r="A54" i="2"/>
  <c r="H54" i="2" s="1"/>
  <c r="B54" i="2"/>
  <c r="A55" i="2"/>
  <c r="I55" i="2" s="1"/>
  <c r="D55" i="2"/>
  <c r="E55" i="2" s="1"/>
  <c r="H55" i="2"/>
  <c r="A56" i="2"/>
  <c r="I56" i="2" s="1"/>
  <c r="A57" i="2"/>
  <c r="H57" i="2" s="1"/>
  <c r="B57" i="2"/>
  <c r="A58" i="2"/>
  <c r="F58" i="2" s="1"/>
  <c r="A59" i="2"/>
  <c r="B59" i="2" s="1"/>
  <c r="I59" i="2"/>
  <c r="A60" i="2"/>
  <c r="D60" i="2" s="1"/>
  <c r="E60" i="2" s="1"/>
  <c r="B60" i="2"/>
  <c r="H60" i="2"/>
  <c r="I60" i="2"/>
  <c r="A61" i="2"/>
  <c r="G61" i="2" s="1"/>
  <c r="B61" i="2"/>
  <c r="A62" i="2"/>
  <c r="C62" i="2" s="1"/>
  <c r="B62" i="2"/>
  <c r="A63" i="2"/>
  <c r="C63" i="2" s="1"/>
  <c r="A64" i="2"/>
  <c r="D64" i="2" s="1"/>
  <c r="E64" i="2" s="1"/>
  <c r="C64" i="2"/>
  <c r="A65" i="2"/>
  <c r="C65" i="2" s="1"/>
  <c r="A66" i="2"/>
  <c r="D66" i="2" s="1"/>
  <c r="E66" i="2" s="1"/>
  <c r="A67" i="2"/>
  <c r="D67" i="2" s="1"/>
  <c r="E67" i="2" s="1"/>
  <c r="C67" i="2"/>
  <c r="I67" i="2"/>
  <c r="A68" i="2"/>
  <c r="G68" i="2" s="1"/>
  <c r="B68" i="2"/>
  <c r="D68" i="2"/>
  <c r="E68" i="2" s="1"/>
  <c r="A69" i="2"/>
  <c r="F69" i="2" s="1"/>
  <c r="A70" i="2"/>
  <c r="C70" i="2" s="1"/>
  <c r="B70" i="2"/>
  <c r="A71" i="2"/>
  <c r="H71" i="2" s="1"/>
  <c r="A72" i="2"/>
  <c r="C72" i="2" s="1"/>
  <c r="B72" i="2"/>
  <c r="I72" i="2"/>
  <c r="A73" i="2"/>
  <c r="C73" i="2" s="1"/>
  <c r="A74" i="2"/>
  <c r="I74" i="2" s="1"/>
  <c r="D74" i="2"/>
  <c r="E74" i="2" s="1"/>
  <c r="H74" i="2"/>
  <c r="A75" i="2"/>
  <c r="G75" i="2" s="1"/>
  <c r="C75" i="2"/>
  <c r="A76" i="2"/>
  <c r="G76" i="2" s="1"/>
  <c r="A77" i="2"/>
  <c r="B77" i="2" s="1"/>
  <c r="G77" i="2"/>
  <c r="A78" i="2"/>
  <c r="H78" i="2" s="1"/>
  <c r="A79" i="2"/>
  <c r="H79" i="2"/>
  <c r="A80" i="2"/>
  <c r="B80" i="2" s="1"/>
  <c r="A81" i="2"/>
  <c r="H81" i="2" s="1"/>
  <c r="A82" i="2"/>
  <c r="G82" i="2" s="1"/>
  <c r="B82" i="2"/>
  <c r="F82" i="2"/>
  <c r="A83" i="2"/>
  <c r="H83" i="2" s="1"/>
  <c r="A84" i="2"/>
  <c r="B84" i="2"/>
  <c r="C84" i="2"/>
  <c r="D84" i="2"/>
  <c r="E84" i="2" s="1"/>
  <c r="F84" i="2"/>
  <c r="G84" i="2"/>
  <c r="H84" i="2"/>
  <c r="I84" i="2"/>
  <c r="A85" i="2"/>
  <c r="I85" i="2" s="1"/>
  <c r="D85" i="2"/>
  <c r="E85" i="2" s="1"/>
  <c r="G85" i="2"/>
  <c r="A86" i="2"/>
  <c r="D86" i="2" s="1"/>
  <c r="E86" i="2" s="1"/>
  <c r="A87" i="2"/>
  <c r="G87" i="2" s="1"/>
  <c r="D87" i="2"/>
  <c r="E87" i="2" s="1"/>
  <c r="A88" i="2"/>
  <c r="G88" i="2" s="1"/>
  <c r="F88" i="2"/>
  <c r="I88" i="2"/>
  <c r="A89" i="2"/>
  <c r="F89" i="2" s="1"/>
  <c r="H89" i="2"/>
  <c r="I89" i="2"/>
  <c r="A90" i="2"/>
  <c r="H90" i="2" s="1"/>
  <c r="A91" i="2"/>
  <c r="F91" i="2" s="1"/>
  <c r="A92" i="2"/>
  <c r="I92" i="2" s="1"/>
  <c r="D92" i="2"/>
  <c r="E92" i="2" s="1"/>
  <c r="A93" i="2"/>
  <c r="H93" i="2" s="1"/>
  <c r="B93" i="2"/>
  <c r="A94" i="2"/>
  <c r="G94" i="2" s="1"/>
  <c r="B94" i="2"/>
  <c r="C94" i="2"/>
  <c r="F94" i="2"/>
  <c r="H94" i="2"/>
  <c r="A95" i="2"/>
  <c r="F95" i="2" s="1"/>
  <c r="B95" i="2"/>
  <c r="C95" i="2"/>
  <c r="D95" i="2"/>
  <c r="E95" i="2" s="1"/>
  <c r="G95" i="2"/>
  <c r="H95" i="2"/>
  <c r="I95" i="2"/>
  <c r="A96" i="2"/>
  <c r="B96" i="2"/>
  <c r="C96" i="2"/>
  <c r="D96" i="2"/>
  <c r="E96" i="2" s="1"/>
  <c r="F96" i="2"/>
  <c r="G96" i="2"/>
  <c r="H96" i="2"/>
  <c r="I96" i="2"/>
  <c r="A97" i="2"/>
  <c r="D97" i="2" s="1"/>
  <c r="B97" i="2"/>
  <c r="C97" i="2"/>
  <c r="E97" i="2"/>
  <c r="F97" i="2"/>
  <c r="G97" i="2"/>
  <c r="H97" i="2"/>
  <c r="I97" i="2"/>
  <c r="A98" i="2"/>
  <c r="C98" i="2" s="1"/>
  <c r="B98" i="2"/>
  <c r="D98" i="2"/>
  <c r="E98" i="2" s="1"/>
  <c r="F98" i="2"/>
  <c r="G98" i="2"/>
  <c r="H98" i="2"/>
  <c r="I98" i="2"/>
  <c r="A99" i="2"/>
  <c r="B99" i="2" s="1"/>
  <c r="C99" i="2"/>
  <c r="D99" i="2"/>
  <c r="E99" i="2" s="1"/>
  <c r="F99" i="2"/>
  <c r="G99" i="2"/>
  <c r="H99" i="2"/>
  <c r="I99" i="2"/>
  <c r="A100" i="2"/>
  <c r="B100" i="2"/>
  <c r="C100" i="2"/>
  <c r="D100" i="2"/>
  <c r="E100" i="2"/>
  <c r="F100" i="2"/>
  <c r="G100" i="2"/>
  <c r="H100" i="2"/>
  <c r="I100" i="2"/>
  <c r="A101" i="2"/>
  <c r="H101" i="2" s="1"/>
  <c r="B101" i="2"/>
  <c r="C101" i="2"/>
  <c r="D101" i="2"/>
  <c r="E101" i="2" s="1"/>
  <c r="F101" i="2"/>
  <c r="G101" i="2"/>
  <c r="I101" i="2"/>
  <c r="A102" i="2"/>
  <c r="C102" i="2" s="1"/>
  <c r="B102" i="2"/>
  <c r="F102" i="2"/>
  <c r="A103" i="2"/>
  <c r="B103" i="2"/>
  <c r="C103" i="2"/>
  <c r="D103" i="2"/>
  <c r="E103" i="2" s="1"/>
  <c r="H103" i="2"/>
  <c r="I103" i="2"/>
  <c r="A104" i="2"/>
  <c r="F104" i="2" s="1"/>
  <c r="C104" i="2"/>
  <c r="D104" i="2"/>
  <c r="E104" i="2" s="1"/>
  <c r="H104" i="2"/>
  <c r="I104" i="2"/>
  <c r="A105" i="2"/>
  <c r="G105" i="2"/>
  <c r="A106" i="2"/>
  <c r="B106" i="2"/>
  <c r="G106" i="2"/>
  <c r="H106" i="2"/>
  <c r="A107" i="2"/>
  <c r="D107" i="2" s="1"/>
  <c r="E107" i="2" s="1"/>
  <c r="H107" i="2"/>
  <c r="I107" i="2"/>
  <c r="A108" i="2"/>
  <c r="B108" i="2"/>
  <c r="C108" i="2"/>
  <c r="D108" i="2"/>
  <c r="E108" i="2" s="1"/>
  <c r="F108" i="2"/>
  <c r="G108" i="2"/>
  <c r="H108" i="2"/>
  <c r="I108" i="2"/>
  <c r="A109" i="2"/>
  <c r="H109" i="2" s="1"/>
  <c r="B109" i="2"/>
  <c r="C109" i="2"/>
  <c r="D109" i="2"/>
  <c r="E109" i="2" s="1"/>
  <c r="F109" i="2"/>
  <c r="G109" i="2"/>
  <c r="I109" i="2"/>
  <c r="A110" i="2"/>
  <c r="D110" i="2" s="1"/>
  <c r="E110" i="2" s="1"/>
  <c r="B110" i="2"/>
  <c r="C110" i="2"/>
  <c r="F110" i="2"/>
  <c r="I110" i="2"/>
  <c r="A111" i="2"/>
  <c r="B111" i="2"/>
  <c r="C111" i="2"/>
  <c r="D111" i="2"/>
  <c r="E111" i="2" s="1"/>
  <c r="I111" i="2"/>
  <c r="A112" i="2"/>
  <c r="G112" i="2"/>
  <c r="A113" i="2"/>
  <c r="A114" i="2"/>
  <c r="B114" i="2"/>
  <c r="F114" i="2"/>
  <c r="G114" i="2"/>
  <c r="H114" i="2"/>
  <c r="I114" i="2"/>
  <c r="A115" i="2"/>
  <c r="F115" i="2"/>
  <c r="H115" i="2"/>
  <c r="I115" i="2"/>
  <c r="A116" i="2"/>
  <c r="B116" i="2"/>
  <c r="C116" i="2"/>
  <c r="D116" i="2"/>
  <c r="E116" i="2" s="1"/>
  <c r="F116" i="2"/>
  <c r="G116" i="2"/>
  <c r="H116" i="2"/>
  <c r="I116" i="2"/>
  <c r="A117" i="2"/>
  <c r="H117" i="2" s="1"/>
  <c r="B117" i="2"/>
  <c r="C117" i="2"/>
  <c r="D117" i="2"/>
  <c r="E117" i="2" s="1"/>
  <c r="F117" i="2"/>
  <c r="G117" i="2"/>
  <c r="I117" i="2"/>
  <c r="A118" i="2"/>
  <c r="C118" i="2"/>
  <c r="D118" i="2"/>
  <c r="E118" i="2" s="1"/>
  <c r="F118" i="2"/>
  <c r="I118" i="2"/>
  <c r="A119" i="2"/>
  <c r="D119" i="2" s="1"/>
  <c r="E119" i="2" s="1"/>
  <c r="A120" i="2"/>
  <c r="F120" i="2" s="1"/>
  <c r="B120" i="2"/>
  <c r="G120" i="2"/>
  <c r="H120" i="2"/>
  <c r="A121" i="2"/>
  <c r="D121" i="2" s="1"/>
  <c r="E121" i="2" s="1"/>
  <c r="B121" i="2"/>
  <c r="C121" i="2"/>
  <c r="H121" i="2"/>
  <c r="I121" i="2"/>
  <c r="A122" i="2"/>
  <c r="B122" i="2"/>
  <c r="F122" i="2"/>
  <c r="G122" i="2"/>
  <c r="I122" i="2"/>
  <c r="A123" i="2"/>
  <c r="A124" i="2"/>
  <c r="B124" i="2"/>
  <c r="C124" i="2"/>
  <c r="D124" i="2"/>
  <c r="E124" i="2"/>
  <c r="F124" i="2"/>
  <c r="G124" i="2"/>
  <c r="H124" i="2"/>
  <c r="I124" i="2"/>
  <c r="A125" i="2"/>
  <c r="H125" i="2" s="1"/>
  <c r="B125" i="2"/>
  <c r="C125" i="2"/>
  <c r="D125" i="2"/>
  <c r="E125" i="2" s="1"/>
  <c r="F125" i="2"/>
  <c r="G125" i="2"/>
  <c r="I125" i="2"/>
  <c r="A126" i="2"/>
  <c r="C126" i="2"/>
  <c r="D126" i="2"/>
  <c r="E126" i="2"/>
  <c r="A127" i="2"/>
  <c r="B127" i="2" s="1"/>
  <c r="A128" i="2"/>
  <c r="F128" i="2" s="1"/>
  <c r="B128" i="2"/>
  <c r="C128" i="2"/>
  <c r="D128" i="2"/>
  <c r="E128" i="2" s="1"/>
  <c r="G128" i="2"/>
  <c r="H128" i="2"/>
  <c r="I128" i="2"/>
  <c r="A129" i="2"/>
  <c r="D129" i="2" s="1"/>
  <c r="E129" i="2" s="1"/>
  <c r="C129" i="2"/>
  <c r="F129" i="2"/>
  <c r="H129" i="2"/>
  <c r="I129" i="2"/>
  <c r="A130" i="2"/>
  <c r="A131" i="2"/>
  <c r="D131" i="2"/>
  <c r="E131" i="2" s="1"/>
  <c r="G131" i="2"/>
  <c r="H131" i="2"/>
  <c r="A132" i="2"/>
  <c r="B132" i="2"/>
  <c r="C132" i="2"/>
  <c r="D132" i="2"/>
  <c r="E132" i="2" s="1"/>
  <c r="F132" i="2"/>
  <c r="G132" i="2"/>
  <c r="H132" i="2"/>
  <c r="I132" i="2"/>
  <c r="A133" i="2"/>
  <c r="I133" i="2"/>
  <c r="A134" i="2"/>
  <c r="F134" i="2" s="1"/>
  <c r="B134" i="2"/>
  <c r="A135" i="2"/>
  <c r="B135" i="2" s="1"/>
  <c r="G135" i="2"/>
  <c r="I135" i="2"/>
  <c r="A136" i="2"/>
  <c r="A137" i="2"/>
  <c r="I137" i="2" s="1"/>
  <c r="B137" i="2"/>
  <c r="F137" i="2"/>
  <c r="G137" i="2"/>
  <c r="A138" i="2"/>
  <c r="B138" i="2" s="1"/>
  <c r="G138" i="2"/>
  <c r="I138" i="2"/>
  <c r="A139" i="2"/>
  <c r="C139" i="2"/>
  <c r="A140" i="2"/>
  <c r="B140" i="2"/>
  <c r="C140" i="2"/>
  <c r="D140" i="2"/>
  <c r="E140" i="2"/>
  <c r="F140" i="2"/>
  <c r="G140" i="2"/>
  <c r="H140" i="2"/>
  <c r="I140" i="2"/>
  <c r="A141" i="2"/>
  <c r="G141" i="2" s="1"/>
  <c r="B141" i="2"/>
  <c r="D141" i="2"/>
  <c r="E141" i="2"/>
  <c r="A142" i="2"/>
  <c r="B142" i="2" s="1"/>
  <c r="D142" i="2"/>
  <c r="E142" i="2" s="1"/>
  <c r="G142" i="2"/>
  <c r="H142" i="2"/>
  <c r="I142" i="2"/>
  <c r="A143" i="2"/>
  <c r="B143" i="2" s="1"/>
  <c r="F143" i="2"/>
  <c r="G143" i="2"/>
  <c r="H143" i="2"/>
  <c r="I143" i="2"/>
  <c r="A144" i="2"/>
  <c r="B144" i="2"/>
  <c r="C144" i="2"/>
  <c r="D144" i="2"/>
  <c r="E144" i="2"/>
  <c r="F144" i="2"/>
  <c r="G144" i="2"/>
  <c r="H144" i="2"/>
  <c r="I144" i="2"/>
  <c r="A145" i="2"/>
  <c r="B145" i="2" s="1"/>
  <c r="F145" i="2"/>
  <c r="G145" i="2"/>
  <c r="I145" i="2"/>
  <c r="A146" i="2"/>
  <c r="F146" i="2"/>
  <c r="H146" i="2"/>
  <c r="I146" i="2"/>
  <c r="A147" i="2"/>
  <c r="F147" i="2" s="1"/>
  <c r="B147" i="2"/>
  <c r="C147" i="2"/>
  <c r="D147" i="2"/>
  <c r="E147" i="2" s="1"/>
  <c r="G147" i="2"/>
  <c r="H147" i="2"/>
  <c r="I147" i="2"/>
  <c r="A148" i="2"/>
  <c r="H148" i="2" s="1"/>
  <c r="A149" i="2"/>
  <c r="C149" i="2" s="1"/>
  <c r="B149" i="2"/>
  <c r="A150" i="2"/>
  <c r="B150" i="2"/>
  <c r="D150" i="2"/>
  <c r="E150" i="2" s="1"/>
  <c r="A151" i="2"/>
  <c r="B151" i="2" s="1"/>
  <c r="C151" i="2"/>
  <c r="D151" i="2"/>
  <c r="E151" i="2" s="1"/>
  <c r="F151" i="2"/>
  <c r="A152" i="2"/>
  <c r="B152" i="2"/>
  <c r="C152" i="2"/>
  <c r="D152" i="2"/>
  <c r="E152" i="2"/>
  <c r="F152" i="2"/>
  <c r="G152" i="2"/>
  <c r="H152" i="2"/>
  <c r="I152" i="2"/>
  <c r="A153" i="2"/>
  <c r="F153" i="2" s="1"/>
  <c r="B153" i="2"/>
  <c r="D153" i="2"/>
  <c r="E153" i="2"/>
  <c r="A154" i="2"/>
  <c r="C154" i="2"/>
  <c r="D154" i="2"/>
  <c r="E154" i="2"/>
  <c r="F154" i="2"/>
  <c r="H154" i="2"/>
  <c r="I154" i="2"/>
  <c r="A155" i="2"/>
  <c r="F155" i="2" s="1"/>
  <c r="B155" i="2"/>
  <c r="C155" i="2"/>
  <c r="D155" i="2"/>
  <c r="E155" i="2"/>
  <c r="G155" i="2"/>
  <c r="H155" i="2"/>
  <c r="I155" i="2"/>
  <c r="A156" i="2"/>
  <c r="H156" i="2" s="1"/>
  <c r="C156" i="2"/>
  <c r="D156" i="2"/>
  <c r="E156" i="2" s="1"/>
  <c r="F156" i="2"/>
  <c r="G156" i="2"/>
  <c r="I156" i="2"/>
  <c r="A157" i="2"/>
  <c r="B157" i="2" s="1"/>
  <c r="F157" i="2"/>
  <c r="H157" i="2"/>
  <c r="I157" i="2"/>
  <c r="A158" i="2"/>
  <c r="G158" i="2"/>
  <c r="H158" i="2"/>
  <c r="I158" i="2"/>
  <c r="A159" i="2"/>
  <c r="B159" i="2" s="1"/>
  <c r="A160" i="2"/>
  <c r="B160" i="2"/>
  <c r="C160" i="2"/>
  <c r="D160" i="2"/>
  <c r="E160" i="2" s="1"/>
  <c r="F160" i="2"/>
  <c r="G160" i="2"/>
  <c r="H160" i="2"/>
  <c r="I160" i="2"/>
  <c r="A161" i="2"/>
  <c r="B161" i="2" s="1"/>
  <c r="A162" i="2"/>
  <c r="D162" i="2" s="1"/>
  <c r="E162" i="2" s="1"/>
  <c r="C162" i="2"/>
  <c r="A163" i="2"/>
  <c r="F163" i="2" s="1"/>
  <c r="B163" i="2"/>
  <c r="C163" i="2"/>
  <c r="D163" i="2"/>
  <c r="E163" i="2" s="1"/>
  <c r="G163" i="2"/>
  <c r="H163" i="2"/>
  <c r="I163" i="2"/>
  <c r="A164" i="2"/>
  <c r="H164" i="2" s="1"/>
  <c r="B164" i="2"/>
  <c r="C164" i="2"/>
  <c r="A165" i="2"/>
  <c r="B165" i="2"/>
  <c r="C165" i="2"/>
  <c r="F165" i="2"/>
  <c r="A166" i="2"/>
  <c r="B166" i="2"/>
  <c r="D166" i="2"/>
  <c r="E166" i="2"/>
  <c r="G166" i="2"/>
  <c r="H166" i="2"/>
  <c r="I166" i="2"/>
  <c r="A167" i="2"/>
  <c r="B167" i="2" s="1"/>
  <c r="D167" i="2"/>
  <c r="E167" i="2" s="1"/>
  <c r="F167" i="2"/>
  <c r="G167" i="2"/>
  <c r="H167" i="2"/>
  <c r="I167" i="2"/>
  <c r="A168" i="2"/>
  <c r="B168" i="2"/>
  <c r="C168" i="2"/>
  <c r="D168" i="2"/>
  <c r="E168" i="2"/>
  <c r="F168" i="2"/>
  <c r="G168" i="2"/>
  <c r="H168" i="2"/>
  <c r="I168" i="2"/>
  <c r="A169" i="2"/>
  <c r="B169" i="2" s="1"/>
  <c r="D169" i="2"/>
  <c r="E169" i="2" s="1"/>
  <c r="F169" i="2"/>
  <c r="G169" i="2"/>
  <c r="I169" i="2"/>
  <c r="A170" i="2"/>
  <c r="C170" i="2" s="1"/>
  <c r="F170" i="2"/>
  <c r="H170" i="2"/>
  <c r="I170" i="2"/>
  <c r="A171" i="2"/>
  <c r="F171" i="2" s="1"/>
  <c r="B171" i="2"/>
  <c r="C171" i="2"/>
  <c r="D171" i="2"/>
  <c r="E171" i="2"/>
  <c r="G171" i="2"/>
  <c r="H171" i="2"/>
  <c r="I171" i="2"/>
  <c r="A172" i="2"/>
  <c r="H172" i="2" s="1"/>
  <c r="G172" i="2"/>
  <c r="I172" i="2"/>
  <c r="A173" i="2"/>
  <c r="F173" i="2" s="1"/>
  <c r="I82" i="2" l="1"/>
  <c r="D76" i="2"/>
  <c r="E76" i="2" s="1"/>
  <c r="I70" i="2"/>
  <c r="H62" i="2"/>
  <c r="H49" i="2"/>
  <c r="G33" i="2"/>
  <c r="F28" i="2"/>
  <c r="B20" i="2"/>
  <c r="C13" i="2"/>
  <c r="B12" i="2"/>
  <c r="F8" i="2"/>
  <c r="I5" i="2"/>
  <c r="B4" i="2"/>
  <c r="D93" i="2"/>
  <c r="E93" i="2" s="1"/>
  <c r="C92" i="2"/>
  <c r="H82" i="2"/>
  <c r="C76" i="2"/>
  <c r="B74" i="2"/>
  <c r="H70" i="2"/>
  <c r="I64" i="2"/>
  <c r="D62" i="2"/>
  <c r="E62" i="2" s="1"/>
  <c r="G49" i="2"/>
  <c r="I43" i="2"/>
  <c r="H30" i="2"/>
  <c r="D28" i="2"/>
  <c r="E28" i="2" s="1"/>
  <c r="D27" i="2"/>
  <c r="E27" i="2" s="1"/>
  <c r="I21" i="2"/>
  <c r="I15" i="2"/>
  <c r="B13" i="2"/>
  <c r="I9" i="2"/>
  <c r="B8" i="2"/>
  <c r="B5" i="2"/>
  <c r="D94" i="2"/>
  <c r="E94" i="2" s="1"/>
  <c r="C93" i="2"/>
  <c r="B92" i="2"/>
  <c r="B78" i="2"/>
  <c r="B76" i="2"/>
  <c r="I52" i="2"/>
  <c r="B30" i="2"/>
  <c r="C28" i="2"/>
  <c r="C27" i="2"/>
  <c r="C21" i="2"/>
  <c r="F19" i="2"/>
  <c r="G11" i="2"/>
  <c r="H92" i="2"/>
  <c r="G90" i="2"/>
  <c r="I69" i="2"/>
  <c r="I63" i="2"/>
  <c r="I27" i="2"/>
  <c r="G93" i="2"/>
  <c r="G92" i="2"/>
  <c r="F90" i="2"/>
  <c r="I87" i="2"/>
  <c r="I76" i="2"/>
  <c r="C69" i="2"/>
  <c r="B66" i="2"/>
  <c r="B63" i="2"/>
  <c r="D54" i="2"/>
  <c r="E54" i="2" s="1"/>
  <c r="D47" i="2"/>
  <c r="E47" i="2" s="1"/>
  <c r="G44" i="2"/>
  <c r="F42" i="2"/>
  <c r="G31" i="2"/>
  <c r="I28" i="2"/>
  <c r="G27" i="2"/>
  <c r="D20" i="2"/>
  <c r="E20" i="2" s="1"/>
  <c r="D12" i="2"/>
  <c r="E12" i="2" s="1"/>
  <c r="F10" i="2"/>
  <c r="H8" i="2"/>
  <c r="F4" i="2"/>
  <c r="D3" i="2"/>
  <c r="E3" i="2" s="1"/>
  <c r="F93" i="2"/>
  <c r="F92" i="2"/>
  <c r="G28" i="2"/>
  <c r="F27" i="2"/>
  <c r="I94" i="2"/>
  <c r="I93" i="2"/>
  <c r="I91" i="2"/>
  <c r="H86" i="2"/>
  <c r="F78" i="2"/>
  <c r="F76" i="2"/>
  <c r="D75" i="2"/>
  <c r="E75" i="2" s="1"/>
  <c r="I73" i="2"/>
  <c r="G71" i="2"/>
  <c r="F68" i="2"/>
  <c r="H66" i="2"/>
  <c r="B65" i="2"/>
  <c r="C61" i="2"/>
  <c r="C60" i="2"/>
  <c r="C59" i="2"/>
  <c r="G56" i="2"/>
  <c r="D53" i="2"/>
  <c r="E53" i="2" s="1"/>
  <c r="F51" i="2"/>
  <c r="D50" i="2"/>
  <c r="E50" i="2" s="1"/>
  <c r="C48" i="2"/>
  <c r="C44" i="2"/>
  <c r="C43" i="2"/>
  <c r="I41" i="2"/>
  <c r="B40" i="2"/>
  <c r="D36" i="2"/>
  <c r="E36" i="2" s="1"/>
  <c r="H32" i="2"/>
  <c r="I30" i="2"/>
  <c r="H27" i="2"/>
  <c r="H26" i="2"/>
  <c r="F25" i="2"/>
  <c r="G20" i="2"/>
  <c r="G19" i="2"/>
  <c r="F18" i="2"/>
  <c r="F16" i="2"/>
  <c r="D14" i="2"/>
  <c r="E14" i="2" s="1"/>
  <c r="H11" i="2"/>
  <c r="G10" i="2"/>
  <c r="F86" i="2"/>
  <c r="I80" i="2"/>
  <c r="G73" i="2"/>
  <c r="C71" i="2"/>
  <c r="C53" i="2"/>
  <c r="D51" i="2"/>
  <c r="E51" i="2" s="1"/>
  <c r="G41" i="2"/>
  <c r="C37" i="2"/>
  <c r="C36" i="2"/>
  <c r="D35" i="2"/>
  <c r="E35" i="2" s="1"/>
  <c r="F80" i="2"/>
  <c r="B71" i="2"/>
  <c r="C68" i="2"/>
  <c r="C54" i="2"/>
  <c r="B53" i="2"/>
  <c r="C52" i="2"/>
  <c r="C51" i="2"/>
  <c r="B37" i="2"/>
  <c r="B36" i="2"/>
  <c r="C35" i="2"/>
  <c r="F32" i="2"/>
  <c r="D19" i="2"/>
  <c r="E19" i="2" s="1"/>
  <c r="D18" i="2"/>
  <c r="E18" i="2" s="1"/>
  <c r="F11" i="2"/>
  <c r="H59" i="2"/>
  <c r="I50" i="2"/>
  <c r="H43" i="2"/>
  <c r="I40" i="2"/>
  <c r="I36" i="2"/>
  <c r="I35" i="2"/>
  <c r="I68" i="2"/>
  <c r="I65" i="2"/>
  <c r="G60" i="2"/>
  <c r="G59" i="2"/>
  <c r="I53" i="2"/>
  <c r="H52" i="2"/>
  <c r="I51" i="2"/>
  <c r="H50" i="2"/>
  <c r="F44" i="2"/>
  <c r="G43" i="2"/>
  <c r="H40" i="2"/>
  <c r="H36" i="2"/>
  <c r="H35" i="2"/>
  <c r="H34" i="2"/>
  <c r="I18" i="2"/>
  <c r="I16" i="2"/>
  <c r="I78" i="2"/>
  <c r="H76" i="2"/>
  <c r="H75" i="2"/>
  <c r="H68" i="2"/>
  <c r="H65" i="2"/>
  <c r="I61" i="2"/>
  <c r="F60" i="2"/>
  <c r="F59" i="2"/>
  <c r="I54" i="2"/>
  <c r="G52" i="2"/>
  <c r="H51" i="2"/>
  <c r="G50" i="2"/>
  <c r="G48" i="2"/>
  <c r="F43" i="2"/>
  <c r="G40" i="2"/>
  <c r="G36" i="2"/>
  <c r="G35" i="2"/>
  <c r="G34" i="2"/>
  <c r="I25" i="2"/>
  <c r="B24" i="2"/>
  <c r="I20" i="2"/>
  <c r="I19" i="2"/>
  <c r="H18" i="2"/>
  <c r="H16" i="2"/>
  <c r="I10" i="2"/>
  <c r="C5" i="2"/>
  <c r="C3" i="2"/>
  <c r="D59" i="2"/>
  <c r="E59" i="2" s="1"/>
  <c r="G51" i="2"/>
  <c r="F48" i="2"/>
  <c r="D43" i="2"/>
  <c r="E43" i="2" s="1"/>
  <c r="F40" i="2"/>
  <c r="F35" i="2"/>
  <c r="F34" i="2"/>
  <c r="I32" i="2"/>
  <c r="I26" i="2"/>
  <c r="H19" i="2"/>
  <c r="G18" i="2"/>
  <c r="G16" i="2"/>
  <c r="I11" i="2"/>
  <c r="H10" i="2"/>
  <c r="D136" i="2"/>
  <c r="E136" i="2" s="1"/>
  <c r="H136" i="2"/>
  <c r="C136" i="2"/>
  <c r="F22" i="2"/>
  <c r="G22" i="2"/>
  <c r="H22" i="2"/>
  <c r="C22" i="2"/>
  <c r="B22" i="2"/>
  <c r="D22" i="2"/>
  <c r="E22" i="2" s="1"/>
  <c r="I22" i="2"/>
  <c r="B139" i="2"/>
  <c r="H139" i="2"/>
  <c r="D139" i="2"/>
  <c r="E139" i="2" s="1"/>
  <c r="C123" i="2"/>
  <c r="B123" i="2"/>
  <c r="I123" i="2"/>
  <c r="D123" i="2"/>
  <c r="E123" i="2" s="1"/>
  <c r="H123" i="2"/>
  <c r="B173" i="2"/>
  <c r="D164" i="2"/>
  <c r="E164" i="2" s="1"/>
  <c r="C159" i="2"/>
  <c r="C158" i="2"/>
  <c r="F158" i="2"/>
  <c r="G151" i="2"/>
  <c r="B148" i="2"/>
  <c r="G146" i="2"/>
  <c r="B146" i="2"/>
  <c r="F139" i="2"/>
  <c r="B136" i="2"/>
  <c r="H133" i="2"/>
  <c r="D133" i="2"/>
  <c r="E133" i="2" s="1"/>
  <c r="G133" i="2"/>
  <c r="C133" i="2"/>
  <c r="D130" i="2"/>
  <c r="E130" i="2" s="1"/>
  <c r="C130" i="2"/>
  <c r="H130" i="2"/>
  <c r="B130" i="2"/>
  <c r="F123" i="2"/>
  <c r="D113" i="2"/>
  <c r="E113" i="2" s="1"/>
  <c r="C113" i="2"/>
  <c r="F113" i="2"/>
  <c r="G113" i="2"/>
  <c r="I113" i="2"/>
  <c r="D149" i="2"/>
  <c r="E149" i="2" s="1"/>
  <c r="G149" i="2"/>
  <c r="C150" i="2"/>
  <c r="F150" i="2"/>
  <c r="I148" i="2"/>
  <c r="G134" i="2"/>
  <c r="D134" i="2"/>
  <c r="E134" i="2" s="1"/>
  <c r="H134" i="2"/>
  <c r="C134" i="2"/>
  <c r="H161" i="2"/>
  <c r="C161" i="2"/>
  <c r="G162" i="2"/>
  <c r="B162" i="2"/>
  <c r="F112" i="2"/>
  <c r="I112" i="2"/>
  <c r="B112" i="2"/>
  <c r="C112" i="2"/>
  <c r="D112" i="2"/>
  <c r="E112" i="2" s="1"/>
  <c r="H112" i="2"/>
  <c r="I161" i="2"/>
  <c r="H173" i="2"/>
  <c r="F172" i="2"/>
  <c r="D165" i="2"/>
  <c r="E165" i="2" s="1"/>
  <c r="G165" i="2"/>
  <c r="I162" i="2"/>
  <c r="H153" i="2"/>
  <c r="C153" i="2"/>
  <c r="I149" i="2"/>
  <c r="H141" i="2"/>
  <c r="C141" i="2"/>
  <c r="F141" i="2"/>
  <c r="D137" i="2"/>
  <c r="E137" i="2" s="1"/>
  <c r="H137" i="2"/>
  <c r="C137" i="2"/>
  <c r="C131" i="2"/>
  <c r="B131" i="2"/>
  <c r="F131" i="2"/>
  <c r="I131" i="2"/>
  <c r="G119" i="2"/>
  <c r="F119" i="2"/>
  <c r="C119" i="2"/>
  <c r="H119" i="2"/>
  <c r="I119" i="2"/>
  <c r="B119" i="2"/>
  <c r="F79" i="2"/>
  <c r="D79" i="2"/>
  <c r="E79" i="2" s="1"/>
  <c r="C79" i="2"/>
  <c r="G79" i="2"/>
  <c r="I79" i="2"/>
  <c r="B79" i="2"/>
  <c r="G127" i="2"/>
  <c r="F127" i="2"/>
  <c r="C127" i="2"/>
  <c r="I127" i="2"/>
  <c r="I173" i="2"/>
  <c r="G148" i="2"/>
  <c r="D172" i="2"/>
  <c r="E172" i="2" s="1"/>
  <c r="D170" i="2"/>
  <c r="E170" i="2" s="1"/>
  <c r="C167" i="2"/>
  <c r="C166" i="2"/>
  <c r="F166" i="2"/>
  <c r="I164" i="2"/>
  <c r="H162" i="2"/>
  <c r="F161" i="2"/>
  <c r="G159" i="2"/>
  <c r="C157" i="2"/>
  <c r="B156" i="2"/>
  <c r="G154" i="2"/>
  <c r="B154" i="2"/>
  <c r="I150" i="2"/>
  <c r="H149" i="2"/>
  <c r="F148" i="2"/>
  <c r="D145" i="2"/>
  <c r="E145" i="2" s="1"/>
  <c r="D143" i="2"/>
  <c r="E143" i="2" s="1"/>
  <c r="F138" i="2"/>
  <c r="I136" i="2"/>
  <c r="F133" i="2"/>
  <c r="I130" i="2"/>
  <c r="H127" i="2"/>
  <c r="H126" i="2"/>
  <c r="G126" i="2"/>
  <c r="I126" i="2"/>
  <c r="B126" i="2"/>
  <c r="F126" i="2"/>
  <c r="D105" i="2"/>
  <c r="E105" i="2" s="1"/>
  <c r="C105" i="2"/>
  <c r="F105" i="2"/>
  <c r="H105" i="2"/>
  <c r="I105" i="2"/>
  <c r="B105" i="2"/>
  <c r="D173" i="2"/>
  <c r="E173" i="2" s="1"/>
  <c r="G173" i="2"/>
  <c r="I159" i="2"/>
  <c r="H159" i="2"/>
  <c r="C172" i="2"/>
  <c r="H169" i="2"/>
  <c r="C169" i="2"/>
  <c r="I165" i="2"/>
  <c r="G164" i="2"/>
  <c r="F162" i="2"/>
  <c r="F159" i="2"/>
  <c r="D158" i="2"/>
  <c r="E158" i="2" s="1"/>
  <c r="I153" i="2"/>
  <c r="I151" i="2"/>
  <c r="H150" i="2"/>
  <c r="F149" i="2"/>
  <c r="D148" i="2"/>
  <c r="E148" i="2" s="1"/>
  <c r="D146" i="2"/>
  <c r="E146" i="2" s="1"/>
  <c r="C143" i="2"/>
  <c r="C142" i="2"/>
  <c r="F142" i="2"/>
  <c r="I139" i="2"/>
  <c r="G136" i="2"/>
  <c r="F135" i="2"/>
  <c r="D135" i="2"/>
  <c r="E135" i="2" s="1"/>
  <c r="H135" i="2"/>
  <c r="C135" i="2"/>
  <c r="G130" i="2"/>
  <c r="H113" i="2"/>
  <c r="G161" i="2"/>
  <c r="C173" i="2"/>
  <c r="B172" i="2"/>
  <c r="G170" i="2"/>
  <c r="B170" i="2"/>
  <c r="H165" i="2"/>
  <c r="F164" i="2"/>
  <c r="D161" i="2"/>
  <c r="E161" i="2" s="1"/>
  <c r="D159" i="2"/>
  <c r="E159" i="2" s="1"/>
  <c r="B158" i="2"/>
  <c r="D157" i="2"/>
  <c r="E157" i="2" s="1"/>
  <c r="G157" i="2"/>
  <c r="G153" i="2"/>
  <c r="H151" i="2"/>
  <c r="G150" i="2"/>
  <c r="C148" i="2"/>
  <c r="C146" i="2"/>
  <c r="H145" i="2"/>
  <c r="C145" i="2"/>
  <c r="I141" i="2"/>
  <c r="G139" i="2"/>
  <c r="C138" i="2"/>
  <c r="H138" i="2"/>
  <c r="D138" i="2"/>
  <c r="E138" i="2" s="1"/>
  <c r="F136" i="2"/>
  <c r="I134" i="2"/>
  <c r="B133" i="2"/>
  <c r="F130" i="2"/>
  <c r="D127" i="2"/>
  <c r="E127" i="2" s="1"/>
  <c r="G123" i="2"/>
  <c r="B113" i="2"/>
  <c r="B83" i="2"/>
  <c r="D83" i="2"/>
  <c r="E83" i="2" s="1"/>
  <c r="F83" i="2"/>
  <c r="G83" i="2"/>
  <c r="I83" i="2"/>
  <c r="C83" i="2"/>
  <c r="D81" i="2"/>
  <c r="E81" i="2" s="1"/>
  <c r="C81" i="2"/>
  <c r="B81" i="2"/>
  <c r="F81" i="2"/>
  <c r="G81" i="2"/>
  <c r="I81" i="2"/>
  <c r="F46" i="2"/>
  <c r="G46" i="2"/>
  <c r="I46" i="2"/>
  <c r="D46" i="2"/>
  <c r="E46" i="2" s="1"/>
  <c r="C46" i="2"/>
  <c r="H46" i="2"/>
  <c r="B46" i="2"/>
  <c r="F121" i="2"/>
  <c r="C120" i="2"/>
  <c r="H118" i="2"/>
  <c r="G118" i="2"/>
  <c r="C115" i="2"/>
  <c r="B115" i="2"/>
  <c r="F107" i="2"/>
  <c r="I102" i="2"/>
  <c r="C88" i="2"/>
  <c r="B88" i="2"/>
  <c r="G80" i="2"/>
  <c r="I77" i="2"/>
  <c r="D73" i="2"/>
  <c r="E73" i="2" s="1"/>
  <c r="F73" i="2"/>
  <c r="H69" i="2"/>
  <c r="D69" i="2"/>
  <c r="E69" i="2" s="1"/>
  <c r="G64" i="2"/>
  <c r="F64" i="2"/>
  <c r="B58" i="2"/>
  <c r="C58" i="2"/>
  <c r="H58" i="2"/>
  <c r="G58" i="2"/>
  <c r="D56" i="2"/>
  <c r="E56" i="2" s="1"/>
  <c r="F56" i="2"/>
  <c r="H56" i="2"/>
  <c r="C56" i="2"/>
  <c r="F39" i="2"/>
  <c r="B39" i="2"/>
  <c r="D39" i="2"/>
  <c r="E39" i="2" s="1"/>
  <c r="H39" i="2"/>
  <c r="G39" i="2"/>
  <c r="F23" i="2"/>
  <c r="G23" i="2"/>
  <c r="B23" i="2"/>
  <c r="D23" i="2"/>
  <c r="E23" i="2" s="1"/>
  <c r="I23" i="2"/>
  <c r="H23" i="2"/>
  <c r="D106" i="2"/>
  <c r="E106" i="2" s="1"/>
  <c r="C106" i="2"/>
  <c r="H91" i="2"/>
  <c r="D89" i="2"/>
  <c r="E89" i="2" s="1"/>
  <c r="C89" i="2"/>
  <c r="B89" i="2"/>
  <c r="H87" i="2"/>
  <c r="H85" i="2"/>
  <c r="C85" i="2"/>
  <c r="B85" i="2"/>
  <c r="F77" i="2"/>
  <c r="C74" i="2"/>
  <c r="F74" i="2"/>
  <c r="H72" i="2"/>
  <c r="G70" i="2"/>
  <c r="D70" i="2"/>
  <c r="E70" i="2" s="1"/>
  <c r="H67" i="2"/>
  <c r="D65" i="2"/>
  <c r="E65" i="2" s="1"/>
  <c r="G65" i="2"/>
  <c r="F65" i="2"/>
  <c r="H63" i="2"/>
  <c r="H61" i="2"/>
  <c r="F61" i="2"/>
  <c r="H110" i="2"/>
  <c r="G110" i="2"/>
  <c r="C107" i="2"/>
  <c r="B107" i="2"/>
  <c r="D102" i="2"/>
  <c r="E102" i="2" s="1"/>
  <c r="G91" i="2"/>
  <c r="D80" i="2"/>
  <c r="E80" i="2" s="1"/>
  <c r="C80" i="2"/>
  <c r="G72" i="2"/>
  <c r="D63" i="2"/>
  <c r="E63" i="2" s="1"/>
  <c r="G129" i="2"/>
  <c r="D122" i="2"/>
  <c r="E122" i="2" s="1"/>
  <c r="C122" i="2"/>
  <c r="I120" i="2"/>
  <c r="G115" i="2"/>
  <c r="G111" i="2"/>
  <c r="F111" i="2"/>
  <c r="I106" i="2"/>
  <c r="G104" i="2"/>
  <c r="C90" i="2"/>
  <c r="D90" i="2"/>
  <c r="E90" i="2" s="1"/>
  <c r="B90" i="2"/>
  <c r="H88" i="2"/>
  <c r="G86" i="2"/>
  <c r="C86" i="2"/>
  <c r="B86" i="2"/>
  <c r="B75" i="2"/>
  <c r="F75" i="2"/>
  <c r="H73" i="2"/>
  <c r="F71" i="2"/>
  <c r="D71" i="2"/>
  <c r="E71" i="2" s="1"/>
  <c r="G69" i="2"/>
  <c r="C66" i="2"/>
  <c r="G66" i="2"/>
  <c r="F66" i="2"/>
  <c r="H64" i="2"/>
  <c r="G62" i="2"/>
  <c r="F62" i="2"/>
  <c r="I58" i="2"/>
  <c r="C57" i="2"/>
  <c r="D57" i="2"/>
  <c r="E57" i="2" s="1"/>
  <c r="G57" i="2"/>
  <c r="I57" i="2"/>
  <c r="F57" i="2"/>
  <c r="F55" i="2"/>
  <c r="C55" i="2"/>
  <c r="G55" i="2"/>
  <c r="B55" i="2"/>
  <c r="C49" i="2"/>
  <c r="D49" i="2"/>
  <c r="E49" i="2" s="1"/>
  <c r="B49" i="2"/>
  <c r="I49" i="2"/>
  <c r="G45" i="2"/>
  <c r="H45" i="2"/>
  <c r="D45" i="2"/>
  <c r="E45" i="2" s="1"/>
  <c r="F45" i="2"/>
  <c r="I45" i="2"/>
  <c r="C45" i="2"/>
  <c r="C17" i="2"/>
  <c r="D17" i="2"/>
  <c r="E17" i="2" s="1"/>
  <c r="H17" i="2"/>
  <c r="B17" i="2"/>
  <c r="F17" i="2"/>
  <c r="G17" i="2"/>
  <c r="I17" i="2"/>
  <c r="F6" i="2"/>
  <c r="G6" i="2"/>
  <c r="H6" i="2"/>
  <c r="C6" i="2"/>
  <c r="I6" i="2"/>
  <c r="D6" i="2"/>
  <c r="E6" i="2" s="1"/>
  <c r="H77" i="2"/>
  <c r="D77" i="2"/>
  <c r="E77" i="2" s="1"/>
  <c r="C77" i="2"/>
  <c r="H102" i="2"/>
  <c r="G102" i="2"/>
  <c r="F72" i="2"/>
  <c r="D72" i="2"/>
  <c r="E72" i="2" s="1"/>
  <c r="F63" i="2"/>
  <c r="G63" i="2"/>
  <c r="B91" i="2"/>
  <c r="D91" i="2"/>
  <c r="E91" i="2" s="1"/>
  <c r="C91" i="2"/>
  <c r="F87" i="2"/>
  <c r="C87" i="2"/>
  <c r="B87" i="2"/>
  <c r="B67" i="2"/>
  <c r="G67" i="2"/>
  <c r="F67" i="2"/>
  <c r="B129" i="2"/>
  <c r="H122" i="2"/>
  <c r="G121" i="2"/>
  <c r="D120" i="2"/>
  <c r="E120" i="2" s="1"/>
  <c r="B118" i="2"/>
  <c r="D115" i="2"/>
  <c r="E115" i="2" s="1"/>
  <c r="D114" i="2"/>
  <c r="E114" i="2" s="1"/>
  <c r="C114" i="2"/>
  <c r="H111" i="2"/>
  <c r="G107" i="2"/>
  <c r="F106" i="2"/>
  <c r="B104" i="2"/>
  <c r="G103" i="2"/>
  <c r="F103" i="2"/>
  <c r="I90" i="2"/>
  <c r="G89" i="2"/>
  <c r="D88" i="2"/>
  <c r="E88" i="2" s="1"/>
  <c r="I86" i="2"/>
  <c r="F85" i="2"/>
  <c r="C82" i="2"/>
  <c r="D82" i="2"/>
  <c r="E82" i="2" s="1"/>
  <c r="H80" i="2"/>
  <c r="G78" i="2"/>
  <c r="D78" i="2"/>
  <c r="E78" i="2" s="1"/>
  <c r="C78" i="2"/>
  <c r="I75" i="2"/>
  <c r="G74" i="2"/>
  <c r="B73" i="2"/>
  <c r="I71" i="2"/>
  <c r="F70" i="2"/>
  <c r="B69" i="2"/>
  <c r="I66" i="2"/>
  <c r="B64" i="2"/>
  <c r="I62" i="2"/>
  <c r="D61" i="2"/>
  <c r="E61" i="2" s="1"/>
  <c r="D58" i="2"/>
  <c r="E58" i="2" s="1"/>
  <c r="B56" i="2"/>
  <c r="C39" i="2"/>
  <c r="C23" i="2"/>
  <c r="F54" i="2"/>
  <c r="G54" i="2"/>
  <c r="H48" i="2"/>
  <c r="G47" i="2"/>
  <c r="C33" i="2"/>
  <c r="D33" i="2"/>
  <c r="E33" i="2" s="1"/>
  <c r="H33" i="2"/>
  <c r="B33" i="2"/>
  <c r="F30" i="2"/>
  <c r="G30" i="2"/>
  <c r="C30" i="2"/>
  <c r="C25" i="2"/>
  <c r="D25" i="2"/>
  <c r="E25" i="2" s="1"/>
  <c r="H25" i="2"/>
  <c r="B25" i="2"/>
  <c r="F15" i="2"/>
  <c r="G15" i="2"/>
  <c r="B15" i="2"/>
  <c r="D15" i="2"/>
  <c r="E15" i="2" s="1"/>
  <c r="F31" i="2"/>
  <c r="B31" i="2"/>
  <c r="D31" i="2"/>
  <c r="E31" i="2" s="1"/>
  <c r="C29" i="2"/>
  <c r="B48" i="2"/>
  <c r="G37" i="2"/>
  <c r="H37" i="2"/>
  <c r="D37" i="2"/>
  <c r="E37" i="2" s="1"/>
  <c r="F37" i="2"/>
  <c r="F14" i="2"/>
  <c r="G14" i="2"/>
  <c r="H14" i="2"/>
  <c r="C14" i="2"/>
  <c r="C9" i="2"/>
  <c r="D9" i="2"/>
  <c r="E9" i="2" s="1"/>
  <c r="H9" i="2"/>
  <c r="B9" i="2"/>
  <c r="G29" i="2"/>
  <c r="H29" i="2"/>
  <c r="D29" i="2"/>
  <c r="E29" i="2" s="1"/>
  <c r="F29" i="2"/>
  <c r="F7" i="2"/>
  <c r="G7" i="2"/>
  <c r="B7" i="2"/>
  <c r="D7" i="2"/>
  <c r="E7" i="2" s="1"/>
  <c r="G53" i="2"/>
  <c r="H53" i="2"/>
  <c r="B50" i="2"/>
  <c r="C50" i="2"/>
  <c r="I48" i="2"/>
  <c r="H47" i="2"/>
  <c r="C41" i="2"/>
  <c r="D41" i="2"/>
  <c r="E41" i="2" s="1"/>
  <c r="H41" i="2"/>
  <c r="B41" i="2"/>
  <c r="F38" i="2"/>
  <c r="G38" i="2"/>
  <c r="C38" i="2"/>
  <c r="I31" i="2"/>
  <c r="C40" i="2"/>
  <c r="C32" i="2"/>
  <c r="C24" i="2"/>
  <c r="F21" i="2"/>
  <c r="C16" i="2"/>
  <c r="F13" i="2"/>
  <c r="C8" i="2"/>
  <c r="F5" i="2"/>
  <c r="D21" i="2"/>
  <c r="E21" i="2" s="1"/>
  <c r="D13" i="2"/>
  <c r="E13" i="2" s="1"/>
  <c r="D5" i="2"/>
  <c r="E5" i="2" s="1"/>
  <c r="C42" i="2"/>
  <c r="C34" i="2"/>
  <c r="C26" i="2"/>
  <c r="H21" i="2"/>
  <c r="C18" i="2"/>
  <c r="H13" i="2"/>
  <c r="C10" i="2"/>
  <c r="H5" i="2"/>
  <c r="L10" i="2"/>
  <c r="N10" i="2"/>
  <c r="M10" i="2"/>
  <c r="O10" i="2"/>
  <c r="A2" i="2" l="1"/>
  <c r="I2" i="2" l="1"/>
  <c r="F2" i="2"/>
  <c r="H2" i="2"/>
  <c r="G2" i="2"/>
  <c r="D2" i="2"/>
  <c r="E2" i="2" s="1"/>
  <c r="C2" i="2"/>
  <c r="B2" i="2"/>
</calcChain>
</file>

<file path=xl/sharedStrings.xml><?xml version="1.0" encoding="utf-8"?>
<sst xmlns="http://schemas.openxmlformats.org/spreadsheetml/2006/main" count="25" uniqueCount="16">
  <si>
    <t>Ship ID</t>
  </si>
  <si>
    <t>Inbound state</t>
  </si>
  <si>
    <t>PO NO</t>
  </si>
  <si>
    <t>Pallets</t>
  </si>
  <si>
    <t>Appointment</t>
  </si>
  <si>
    <t>ZONE</t>
  </si>
  <si>
    <t>MA&amp;AM</t>
  </si>
  <si>
    <t>type</t>
  </si>
  <si>
    <t>Total Count of Ship ID</t>
  </si>
  <si>
    <t>Total Sum of Pallets</t>
  </si>
  <si>
    <t>CANCEL DATE</t>
  </si>
  <si>
    <t>Count of ZONE</t>
  </si>
  <si>
    <t>Étiquettes de colonnes</t>
  </si>
  <si>
    <t>Étiquettes de lignes</t>
  </si>
  <si>
    <t>Total général</t>
  </si>
  <si>
    <t>(Plusieurs éléments)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</si>
</sst>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\ h:mm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0" fontId="2" fillId="2" borderId="1" xfId="1" applyNumberFormat="1" applyFont="1" applyFill="1" applyBorder="1"/>
    <xf numFmtId="10" fontId="2" fillId="2" borderId="2" xfId="1" applyNumberFormat="1" applyFont="1" applyFill="1" applyBorder="1"/>
    <xf numFmtId="10" fontId="2" fillId="2" borderId="3" xfId="1" applyNumberFormat="1" applyFont="1" applyFill="1" applyBorder="1"/>
  </cellXfs>
  <cellStyles count="2">
    <cellStyle name="Normal" xfId="0" builtinId="0"/>
    <cellStyle name="Pourcentage" xfId="1" builtinId="5"/>
  </cellStyles>
  <dxfs count="18">
    <dxf>
      <fill>
        <patternFill patternType="solid">
          <bgColor rgb="FF92D050"/>
        </patternFill>
      </fill>
    </dxf>
    <dxf>
      <font>
        <b/>
        <color theme="0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numFmt numFmtId="165" formatCode="d/m/yy\ h:mm;@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30" formatCode="@"/>
    </dxf>
    <dxf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/>
        <color theme="0"/>
      </font>
    </dxf>
    <dxf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</xdr:row>
          <xdr:rowOff>57150</xdr:rowOff>
        </xdr:from>
        <xdr:to>
          <xdr:col>9</xdr:col>
          <xdr:colOff>476250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TCD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Rosset" refreshedDate="44467.568378587966" createdVersion="6" refreshedVersion="6" minRefreshableVersion="3" recordCount="172" xr:uid="{5328BD3F-251A-4F92-95BE-C5077D1C8DF2}">
  <cacheSource type="worksheet">
    <worksheetSource name="Table1"/>
  </cacheSource>
  <cacheFields count="9">
    <cacheField name="Ship ID" numFmtId="49">
      <sharedItems containsSemiMixedTypes="0" containsString="0" containsNumber="1" containsInteger="1" minValue="0" maxValue="0"/>
    </cacheField>
    <cacheField name="PO NO" numFmtId="0">
      <sharedItems/>
    </cacheField>
    <cacheField name="ZONE" numFmtId="0">
      <sharedItems count="5">
        <e v="#N/A"/>
        <s v=" " u="1"/>
        <s v="Zone 1 Container" u="1"/>
        <s v="Zone 1 Truck" u="1"/>
        <s v="Zone 1 Handling" u="1"/>
      </sharedItems>
    </cacheField>
    <cacheField name="Appointment" numFmtId="164">
      <sharedItems/>
    </cacheField>
    <cacheField name="MA&amp;AM" numFmtId="0">
      <sharedItems count="3">
        <e v="#N/A"/>
        <s v="Matin" u="1"/>
        <s v="Après-midi" u="1"/>
      </sharedItems>
    </cacheField>
    <cacheField name="Pallets" numFmtId="0">
      <sharedItems containsMixedTypes="1" containsNumber="1" containsInteger="1" minValue="1" maxValue="448" count="72">
        <e v="#N/A"/>
        <n v="7" u="1"/>
        <n v="3" u="1"/>
        <n v="53" u="1"/>
        <n v="33" u="1"/>
        <n v="68" u="1"/>
        <n v="46" u="1"/>
        <n v="29" u="1"/>
        <n v="19" u="1"/>
        <n v="121" u="1"/>
        <n v="59" u="1"/>
        <n v="39" u="1"/>
        <n v="67" u="1"/>
        <n v="448" u="1"/>
        <n v="52" u="1"/>
        <n v="32" u="1"/>
        <n v="22" u="1"/>
        <n v="14" u="1"/>
        <n v="9" u="1"/>
        <n v="6" u="1"/>
        <n v="1" u="1"/>
        <n v="66" u="1"/>
        <n v="45" u="1"/>
        <n v="58" u="1"/>
        <n v="38" u="1"/>
        <n v="25" u="1"/>
        <n v="65" u="1"/>
        <n v="51" u="1"/>
        <n v="44" u="1"/>
        <n v="28" u="1"/>
        <n v="18" u="1"/>
        <n v="12" u="1"/>
        <n v="5" u="1"/>
        <n v="2" u="1"/>
        <n v="57" u="1"/>
        <n v="37" u="1"/>
        <n v="76" u="1"/>
        <n v="50" u="1"/>
        <n v="31" u="1"/>
        <n v="21" u="1"/>
        <n v="63" u="1"/>
        <n v="43" u="1"/>
        <n v="56" u="1"/>
        <n v="36" u="1"/>
        <n v="24" u="1"/>
        <n v="15" u="1"/>
        <n v="10" u="1"/>
        <n v="4" u="1"/>
        <n v="49" u="1"/>
        <n v="62" u="1"/>
        <n v="42" u="1"/>
        <n v="27" u="1"/>
        <n v="17" u="1"/>
        <n v="55" u="1"/>
        <n v="35" u="1"/>
        <n v="48" u="1"/>
        <n v="30" u="1"/>
        <n v="20" u="1"/>
        <n v="13" u="1"/>
        <n v="8" u="1"/>
        <n v="61" u="1"/>
        <n v="41" u="1"/>
        <n v="71" u="1"/>
        <n v="54" u="1"/>
        <n v="34" u="1"/>
        <n v="23" u="1"/>
        <n v="47" u="1"/>
        <n v="60" u="1"/>
        <n v="40" u="1"/>
        <n v="26" u="1"/>
        <n v="16" u="1"/>
        <n v="11" u="1"/>
      </sharedItems>
    </cacheField>
    <cacheField name="type" numFmtId="0">
      <sharedItems/>
    </cacheField>
    <cacheField name="Inbound state" numFmtId="0">
      <sharedItems count="10">
        <e v="#N/A"/>
        <s v="Unloading" u="1"/>
        <s v="Arrived" u="1"/>
        <s v="Finished" u="1"/>
        <s v="Expected" u="1"/>
        <s v="Removed" u="1"/>
        <s v="Cancelled" u="1"/>
        <s v=" " u="1"/>
        <s v="Refused" u="1"/>
        <s v="NoShow" u="1"/>
      </sharedItems>
    </cacheField>
    <cacheField name="CANCEL DATE" numFmtId="16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"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  <r>
    <n v="0"/>
    <e v="#N/A"/>
    <x v="0"/>
    <e v="#N/A"/>
    <x v="0"/>
    <x v="0"/>
    <e v="#N/A"/>
    <x v="0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DE16E-72B9-45E1-86A5-170C360855D0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14:L16" firstHeaderRow="1" firstDataRow="2" firstDataCol="1" rowPageCount="2" colPageCount="1"/>
  <pivotFields count="9">
    <pivotField showAll="0"/>
    <pivotField showAll="0"/>
    <pivotField axis="axisPage" dataField="1" multipleItemSelectionAllowed="1" showAll="0">
      <items count="6">
        <item h="1" m="1" x="1"/>
        <item h="1" m="1" x="2"/>
        <item h="1" m="1" x="4"/>
        <item m="1" x="3"/>
        <item h="1" x="0"/>
        <item t="default"/>
      </items>
    </pivotField>
    <pivotField showAll="0"/>
    <pivotField axis="axisCol" showAll="0">
      <items count="4">
        <item m="1" x="2"/>
        <item m="1" x="1"/>
        <item x="0"/>
        <item t="default"/>
      </items>
    </pivotField>
    <pivotField axis="axisRow" showAll="0" sortType="ascending">
      <items count="73">
        <item m="1" x="20"/>
        <item m="1" x="33"/>
        <item m="1" x="2"/>
        <item m="1" x="47"/>
        <item m="1" x="32"/>
        <item m="1" x="19"/>
        <item m="1" x="1"/>
        <item m="1" x="59"/>
        <item m="1" x="18"/>
        <item m="1" x="46"/>
        <item m="1" x="71"/>
        <item m="1" x="31"/>
        <item m="1" x="58"/>
        <item m="1" x="17"/>
        <item m="1" x="45"/>
        <item m="1" x="70"/>
        <item m="1" x="52"/>
        <item m="1" x="30"/>
        <item m="1" x="8"/>
        <item m="1" x="57"/>
        <item m="1" x="39"/>
        <item m="1" x="16"/>
        <item m="1" x="65"/>
        <item m="1" x="44"/>
        <item m="1" x="25"/>
        <item m="1" x="69"/>
        <item m="1" x="51"/>
        <item m="1" x="29"/>
        <item m="1" x="7"/>
        <item m="1" x="56"/>
        <item m="1" x="38"/>
        <item m="1" x="15"/>
        <item m="1" x="4"/>
        <item m="1" x="64"/>
        <item m="1" x="54"/>
        <item m="1" x="43"/>
        <item m="1" x="35"/>
        <item m="1" x="24"/>
        <item m="1" x="11"/>
        <item m="1" x="68"/>
        <item m="1" x="61"/>
        <item m="1" x="50"/>
        <item m="1" x="41"/>
        <item m="1" x="28"/>
        <item m="1" x="22"/>
        <item m="1" x="6"/>
        <item m="1" x="66"/>
        <item m="1" x="55"/>
        <item m="1" x="48"/>
        <item m="1" x="37"/>
        <item m="1" x="27"/>
        <item m="1" x="14"/>
        <item m="1" x="3"/>
        <item m="1" x="63"/>
        <item m="1" x="53"/>
        <item m="1" x="42"/>
        <item m="1" x="34"/>
        <item m="1" x="23"/>
        <item m="1" x="10"/>
        <item m="1" x="67"/>
        <item m="1" x="60"/>
        <item m="1" x="49"/>
        <item m="1" x="40"/>
        <item m="1" x="26"/>
        <item m="1" x="21"/>
        <item m="1" x="12"/>
        <item m="1" x="5"/>
        <item m="1" x="62"/>
        <item m="1" x="36"/>
        <item m="1" x="9"/>
        <item m="1" x="13"/>
        <item x="0"/>
        <item t="default"/>
      </items>
    </pivotField>
    <pivotField showAll="0"/>
    <pivotField axis="axisPage" multipleItemSelectionAllowed="1" showAll="0">
      <items count="11">
        <item m="1" x="7"/>
        <item m="1" x="2"/>
        <item h="1" m="1" x="6"/>
        <item m="1" x="4"/>
        <item m="1" x="3"/>
        <item m="1" x="9"/>
        <item m="1" x="8"/>
        <item m="1" x="1"/>
        <item h="1" x="0"/>
        <item h="1" m="1" x="5"/>
        <item t="default"/>
      </items>
    </pivotField>
    <pivotField showAll="0"/>
  </pivotFields>
  <rowFields count="1">
    <field x="5"/>
  </rowFields>
  <rowItems count="1">
    <i t="grand">
      <x/>
    </i>
  </rowItems>
  <colFields count="1">
    <field x="4"/>
  </colFields>
  <colItems count="1">
    <i t="grand">
      <x/>
    </i>
  </colItems>
  <pageFields count="2">
    <pageField fld="7" hier="-1"/>
    <pageField fld="2" hier="-1"/>
  </pageFields>
  <dataFields count="1">
    <dataField name="Count of ZONE" fld="2" subtotal="count" baseField="0" baseItem="0"/>
  </dataFields>
  <formats count="2">
    <format dxfId="12">
      <pivotArea dataOnly="0" labelOnly="1" fieldPosition="0">
        <references count="1">
          <reference field="4" count="1">
            <x v="0"/>
          </reference>
        </references>
      </pivotArea>
    </format>
    <format dxfId="11">
      <pivotArea dataOnly="0" labelOnly="1" fieldPosition="0">
        <references count="1">
          <reference field="4" count="1">
            <x v="1"/>
          </reference>
        </references>
      </pivotArea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C7F1A-E278-4164-955E-E504669D5A3D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K3:M6" firstHeaderRow="1" firstDataRow="3" firstDataCol="1" rowPageCount="1" colPageCount="1"/>
  <pivotFields count="9">
    <pivotField dataField="1" showAll="0"/>
    <pivotField showAll="0"/>
    <pivotField axis="axisRow" showAll="0">
      <items count="6">
        <item m="1" x="2"/>
        <item m="1" x="4"/>
        <item m="1" x="3"/>
        <item h="1" x="0"/>
        <item h="1" m="1" x="1"/>
        <item t="default"/>
      </items>
    </pivotField>
    <pivotField showAll="0"/>
    <pivotField axis="axisCol" showAll="0">
      <items count="4">
        <item m="1" x="2"/>
        <item m="1" x="1"/>
        <item x="0"/>
        <item t="default"/>
      </items>
    </pivotField>
    <pivotField dataField="1" showAll="0"/>
    <pivotField showAll="0"/>
    <pivotField axis="axisPage" multipleItemSelectionAllowed="1" showAll="0">
      <items count="11">
        <item m="1" x="2"/>
        <item h="1" m="1" x="6"/>
        <item m="1" x="4"/>
        <item m="1" x="3"/>
        <item m="1" x="1"/>
        <item h="1" x="0"/>
        <item h="1" m="1" x="8"/>
        <item h="1" m="1" x="7"/>
        <item h="1" m="1" x="9"/>
        <item h="1" m="1" x="5"/>
        <item t="default"/>
      </items>
    </pivotField>
    <pivotField showAll="0"/>
  </pivotFields>
  <rowFields count="1">
    <field x="2"/>
  </rowFields>
  <rowItems count="1">
    <i t="grand">
      <x/>
    </i>
  </rowItems>
  <colFields count="2">
    <field x="4"/>
    <field x="-2"/>
  </colFields>
  <colItems count="2">
    <i t="grand">
      <x/>
    </i>
    <i t="grand" i="1">
      <x v="1"/>
    </i>
  </colItems>
  <pageFields count="1">
    <pageField fld="7" hier="-1"/>
  </pageFields>
  <dataFields count="2">
    <dataField name="Count of Ship ID" fld="0" subtotal="count" baseField="0" baseItem="0"/>
    <dataField name="Sum of Pallets" fld="5" baseField="2" baseItem="0"/>
  </dataFields>
  <formats count="3">
    <format dxfId="15">
      <pivotArea dataOnly="0" labelOnly="1" offset="A256" fieldPosition="0">
        <references count="1">
          <reference field="4" count="1">
            <x v="1"/>
          </reference>
        </references>
      </pivotArea>
    </format>
    <format dxfId="14">
      <pivotArea dataOnly="0" labelOnly="1" fieldPosition="0">
        <references count="1">
          <reference field="4" count="1">
            <x v="1"/>
          </reference>
        </references>
      </pivotArea>
    </format>
    <format dxfId="13">
      <pivotArea dataOnly="0" labelOnly="1" offset="A256" fieldPosition="0">
        <references count="1">
          <reference field="4" count="1">
            <x v="0"/>
          </reference>
        </references>
      </pivotArea>
    </format>
  </formats>
  <chartFormats count="4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8D3938-7FB3-4BAC-8501-D8C0CA36E1C0}" name="Table1" displayName="Table1" ref="A1:I173" totalsRowShown="0">
  <autoFilter ref="A1:I173" xr:uid="{C5E02D2D-F9C3-4239-8DAC-E336C3AD8886}"/>
  <tableColumns count="9">
    <tableColumn id="1" xr3:uid="{CE68C7CF-0A8A-4747-AB16-16419A5586F9}" name="Ship ID" dataDxfId="10">
      <calculatedColumnFormula>+Data!E2</calculatedColumnFormula>
    </tableColumn>
    <tableColumn id="2" xr3:uid="{B60E1820-81E5-4B36-8905-D79E6E59549A}" name="PO NO">
      <calculatedColumnFormula>VLOOKUP(A2,Data!E:G,3,0)</calculatedColumnFormula>
    </tableColumn>
    <tableColumn id="3" xr3:uid="{88CC03A4-84E4-4F54-839F-B5C3A0ED1DBF}" name="ZONE">
      <calculatedColumnFormula>VLOOKUP(A2,Data!E:N,10,0)</calculatedColumnFormula>
    </tableColumn>
    <tableColumn id="4" xr3:uid="{BCACAD09-9337-4DF3-AD97-E2DC84A533B7}" name="Appointment" dataDxfId="9">
      <calculatedColumnFormula>VLOOKUP(A2,Data!E:R,14,0)</calculatedColumnFormula>
    </tableColumn>
    <tableColumn id="5" xr3:uid="{A2BA01EC-21F3-484B-B5C3-49CCE6682712}" name="MA&amp;AM" dataDxfId="8">
      <calculatedColumnFormula>IF(D2&lt;0.54,"Matin","Après-midi")</calculatedColumnFormula>
    </tableColumn>
    <tableColumn id="6" xr3:uid="{01DE4D6F-D650-429E-A8D9-6017A6FB6809}" name="Pallets">
      <calculatedColumnFormula>+VLOOKUP(A2,Data!E:O,11,0)</calculatedColumnFormula>
    </tableColumn>
    <tableColumn id="8" xr3:uid="{844BD5F1-A95A-4849-9B0A-ACB08198C455}" name="type" dataDxfId="7">
      <calculatedColumnFormula>VLOOKUP(Table1[[#This Row],[Ship ID]],Data!E:H,4,0)</calculatedColumnFormula>
    </tableColumn>
    <tableColumn id="7" xr3:uid="{F4EAF735-919A-4738-B484-A9B8AA23D35C}" name="Inbound state" dataDxfId="6">
      <calculatedColumnFormula>+VLOOKUP(Table1[[#This Row],[Ship ID]],Data!E:J,6,0)</calculatedColumnFormula>
    </tableColumn>
    <tableColumn id="9" xr3:uid="{1CD33660-1F4D-4160-BB44-324300459D34}" name="CANCEL DATE" dataDxfId="5">
      <calculatedColumnFormula>VLOOKUP(Table1[[#This Row],[Ship ID]],Data!E:AB,24,0)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75F4-B41F-4E30-9099-14EA4E945289}">
  <sheetPr codeName="Sheet1"/>
  <dimension ref="A1"/>
  <sheetViews>
    <sheetView tabSelected="1" workbookViewId="0"/>
  </sheetViews>
  <sheetFormatPr baseColWidth="10" defaultColWidth="9.140625" defaultRowHeight="15" x14ac:dyDescent="0.25"/>
  <cols>
    <col min="1" max="1" width="11.7109375" bestFit="1" customWidth="1"/>
    <col min="2" max="2" width="20.7109375" customWidth="1"/>
    <col min="3" max="3" width="13.28515625" bestFit="1" customWidth="1"/>
    <col min="4" max="4" width="20.7109375" customWidth="1"/>
    <col min="5" max="5" width="7.140625" bestFit="1" customWidth="1"/>
    <col min="6" max="6" width="19" bestFit="1" customWidth="1"/>
    <col min="7" max="7" width="6.85546875" bestFit="1" customWidth="1"/>
    <col min="8" max="8" width="10.5703125" bestFit="1" customWidth="1"/>
    <col min="9" max="9" width="11.5703125" bestFit="1" customWidth="1"/>
    <col min="10" max="10" width="13.42578125" bestFit="1" customWidth="1"/>
    <col min="11" max="11" width="8.140625" bestFit="1" customWidth="1"/>
    <col min="12" max="12" width="20.7109375" customWidth="1"/>
    <col min="13" max="13" width="10.140625" bestFit="1" customWidth="1"/>
    <col min="14" max="14" width="20.7109375" customWidth="1"/>
    <col min="15" max="15" width="7" bestFit="1" customWidth="1"/>
    <col min="16" max="16" width="12.140625" bestFit="1" customWidth="1"/>
    <col min="17" max="17" width="15.5703125" bestFit="1" customWidth="1"/>
    <col min="18" max="18" width="10.28515625" bestFit="1" customWidth="1"/>
    <col min="19" max="20" width="15.5703125" bestFit="1" customWidth="1"/>
    <col min="21" max="21" width="18.140625" bestFit="1" customWidth="1"/>
    <col min="22" max="22" width="13.5703125" bestFit="1" customWidth="1"/>
    <col min="23" max="23" width="13.28515625" bestFit="1" customWidth="1"/>
    <col min="24" max="24" width="15.42578125" bestFit="1" customWidth="1"/>
    <col min="25" max="25" width="14.140625" bestFit="1" customWidth="1"/>
    <col min="26" max="26" width="15.5703125" bestFit="1" customWidth="1"/>
    <col min="27" max="27" width="24.140625" bestFit="1" customWidth="1"/>
    <col min="28" max="28" width="18.140625" bestFit="1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1C6DA-461F-4046-84C0-5753D9F91BBC}">
  <sheetPr codeName="Sheet2">
    <pageSetUpPr fitToPage="1"/>
  </sheetPr>
  <dimension ref="A1:O173"/>
  <sheetViews>
    <sheetView workbookViewId="0">
      <selection activeCell="L6" sqref="L6"/>
    </sheetView>
  </sheetViews>
  <sheetFormatPr baseColWidth="10" defaultColWidth="9.140625" defaultRowHeight="15" x14ac:dyDescent="0.25"/>
  <cols>
    <col min="1" max="1" width="9.42578125" customWidth="1"/>
    <col min="2" max="2" width="22.7109375" customWidth="1"/>
    <col min="3" max="3" width="16.140625" customWidth="1"/>
    <col min="4" max="4" width="15.140625" style="3" customWidth="1"/>
    <col min="5" max="5" width="11.140625" customWidth="1"/>
    <col min="6" max="6" width="9.28515625" customWidth="1"/>
    <col min="7" max="7" width="18.28515625" customWidth="1"/>
    <col min="8" max="8" width="15.7109375" customWidth="1"/>
    <col min="9" max="9" width="15.140625" style="7" bestFit="1" customWidth="1"/>
    <col min="11" max="11" width="21" bestFit="1" customWidth="1"/>
    <col min="12" max="12" width="23.85546875" bestFit="1" customWidth="1"/>
    <col min="13" max="13" width="18.5703125" bestFit="1" customWidth="1"/>
    <col min="14" max="14" width="11.140625" bestFit="1" customWidth="1"/>
    <col min="15" max="15" width="13.7109375" bestFit="1" customWidth="1"/>
    <col min="16" max="16" width="20.28515625" bestFit="1" customWidth="1"/>
    <col min="17" max="18" width="18.7109375" bestFit="1" customWidth="1"/>
    <col min="19" max="19" width="20.28515625" bestFit="1" customWidth="1"/>
    <col min="20" max="20" width="19" bestFit="1" customWidth="1"/>
    <col min="21" max="21" width="20.140625" bestFit="1" customWidth="1"/>
    <col min="22" max="22" width="13.7109375" bestFit="1" customWidth="1"/>
    <col min="23" max="23" width="15.28515625" bestFit="1" customWidth="1"/>
    <col min="24" max="24" width="13.7109375" bestFit="1" customWidth="1"/>
    <col min="25" max="25" width="15.28515625" bestFit="1" customWidth="1"/>
    <col min="26" max="26" width="17.28515625" bestFit="1" customWidth="1"/>
    <col min="27" max="27" width="18.85546875" bestFit="1" customWidth="1"/>
    <col min="28" max="28" width="18.7109375" bestFit="1" customWidth="1"/>
    <col min="29" max="29" width="20.28515625" bestFit="1" customWidth="1"/>
  </cols>
  <sheetData>
    <row r="1" spans="1:15" x14ac:dyDescent="0.25">
      <c r="A1" t="s">
        <v>0</v>
      </c>
      <c r="B1" t="s">
        <v>2</v>
      </c>
      <c r="C1" t="s">
        <v>5</v>
      </c>
      <c r="D1" s="3" t="s">
        <v>4</v>
      </c>
      <c r="E1" s="2" t="s">
        <v>6</v>
      </c>
      <c r="F1" s="2" t="s">
        <v>3</v>
      </c>
      <c r="G1" s="2" t="s">
        <v>7</v>
      </c>
      <c r="H1" s="1" t="s">
        <v>1</v>
      </c>
      <c r="I1" s="7" t="s">
        <v>10</v>
      </c>
      <c r="K1" s="4" t="s">
        <v>1</v>
      </c>
      <c r="L1" t="s">
        <v>15</v>
      </c>
    </row>
    <row r="2" spans="1:15" x14ac:dyDescent="0.25">
      <c r="A2" s="1">
        <f>+Data!E2</f>
        <v>0</v>
      </c>
      <c r="B2" t="e">
        <f>VLOOKUP(A2,Data!E:G,3,0)</f>
        <v>#N/A</v>
      </c>
      <c r="C2" t="e">
        <f>VLOOKUP(A2,Data!E:N,10,0)</f>
        <v>#N/A</v>
      </c>
      <c r="D2" s="3" t="e">
        <f>VLOOKUP(A2,Data!E:R,14,0)</f>
        <v>#N/A</v>
      </c>
      <c r="E2" t="e">
        <f>IF(D2&lt;0.54,"Matin","Après-midi")</f>
        <v>#N/A</v>
      </c>
      <c r="F2" t="e">
        <f>+VLOOKUP(A2,Data!E:O,11,0)</f>
        <v>#N/A</v>
      </c>
      <c r="G2" t="e">
        <f>VLOOKUP(Table1[[#This Row],[Ship ID]],Data!E:H,4,0)</f>
        <v>#N/A</v>
      </c>
      <c r="H2" t="e">
        <f>+VLOOKUP(Table1[[#This Row],[Ship ID]],Data!E:J,6,0)</f>
        <v>#N/A</v>
      </c>
      <c r="I2" s="7" t="e">
        <f>VLOOKUP(Table1[[#This Row],[Ship ID]],Data!E:AB,24,0)</f>
        <v>#N/A</v>
      </c>
    </row>
    <row r="3" spans="1:15" x14ac:dyDescent="0.25">
      <c r="A3" s="1">
        <f>+Data!E3</f>
        <v>0</v>
      </c>
      <c r="B3" t="e">
        <f>VLOOKUP(A3,Data!E:G,3,0)</f>
        <v>#N/A</v>
      </c>
      <c r="C3" t="e">
        <f>VLOOKUP(A3,Data!E:N,10,0)</f>
        <v>#N/A</v>
      </c>
      <c r="D3" s="3" t="e">
        <f>VLOOKUP(A3,Data!E:R,14,0)</f>
        <v>#N/A</v>
      </c>
      <c r="E3" t="e">
        <f t="shared" ref="E3:E66" si="0">IF(D3&lt;0.54,"Matin","Après-midi")</f>
        <v>#N/A</v>
      </c>
      <c r="F3" t="e">
        <f>+VLOOKUP(A3,Data!E:O,11,0)</f>
        <v>#N/A</v>
      </c>
      <c r="G3" t="e">
        <f>VLOOKUP(Table1[[#This Row],[Ship ID]],Data!E:H,4,0)</f>
        <v>#N/A</v>
      </c>
      <c r="H3" t="e">
        <f>+VLOOKUP(Table1[[#This Row],[Ship ID]],Data!E:J,6,0)</f>
        <v>#N/A</v>
      </c>
      <c r="I3" s="7" t="e">
        <f>VLOOKUP(Table1[[#This Row],[Ship ID]],Data!E:AB,24,0)</f>
        <v>#N/A</v>
      </c>
      <c r="L3" s="4" t="s">
        <v>12</v>
      </c>
    </row>
    <row r="4" spans="1:15" x14ac:dyDescent="0.25">
      <c r="A4" s="1">
        <f>+Data!E4</f>
        <v>0</v>
      </c>
      <c r="B4" t="e">
        <f>VLOOKUP(A4,Data!E:G,3,0)</f>
        <v>#N/A</v>
      </c>
      <c r="C4" t="e">
        <f>VLOOKUP(A4,Data!E:N,10,0)</f>
        <v>#N/A</v>
      </c>
      <c r="D4" s="3" t="e">
        <f>VLOOKUP(A4,Data!E:R,14,0)</f>
        <v>#N/A</v>
      </c>
      <c r="E4" t="e">
        <f t="shared" si="0"/>
        <v>#N/A</v>
      </c>
      <c r="F4" t="e">
        <f>+VLOOKUP(A4,Data!E:O,11,0)</f>
        <v>#N/A</v>
      </c>
      <c r="G4" t="e">
        <f>VLOOKUP(Table1[[#This Row],[Ship ID]],Data!E:H,4,0)</f>
        <v>#N/A</v>
      </c>
      <c r="H4" t="e">
        <f>+VLOOKUP(Table1[[#This Row],[Ship ID]],Data!E:J,6,0)</f>
        <v>#N/A</v>
      </c>
      <c r="I4" s="7" t="e">
        <f>VLOOKUP(Table1[[#This Row],[Ship ID]],Data!E:AB,24,0)</f>
        <v>#N/A</v>
      </c>
      <c r="L4" t="s">
        <v>8</v>
      </c>
      <c r="M4" t="s">
        <v>9</v>
      </c>
    </row>
    <row r="5" spans="1:15" x14ac:dyDescent="0.25">
      <c r="A5" s="1">
        <f>+Data!E5</f>
        <v>0</v>
      </c>
      <c r="B5" t="e">
        <f>VLOOKUP(A5,Data!E:G,3,0)</f>
        <v>#N/A</v>
      </c>
      <c r="C5" t="e">
        <f>VLOOKUP(A5,Data!E:N,10,0)</f>
        <v>#N/A</v>
      </c>
      <c r="D5" s="3" t="e">
        <f>VLOOKUP(A5,Data!E:R,14,0)</f>
        <v>#N/A</v>
      </c>
      <c r="E5" t="e">
        <f t="shared" si="0"/>
        <v>#N/A</v>
      </c>
      <c r="F5" t="e">
        <f>+VLOOKUP(A5,Data!E:O,11,0)</f>
        <v>#N/A</v>
      </c>
      <c r="G5" t="e">
        <f>VLOOKUP(Table1[[#This Row],[Ship ID]],Data!E:H,4,0)</f>
        <v>#N/A</v>
      </c>
      <c r="H5" t="e">
        <f>+VLOOKUP(Table1[[#This Row],[Ship ID]],Data!E:J,6,0)</f>
        <v>#N/A</v>
      </c>
      <c r="I5" s="7" t="e">
        <f>VLOOKUP(Table1[[#This Row],[Ship ID]],Data!E:AB,24,0)</f>
        <v>#N/A</v>
      </c>
      <c r="K5" s="4" t="s">
        <v>13</v>
      </c>
    </row>
    <row r="6" spans="1:15" x14ac:dyDescent="0.25">
      <c r="A6" s="1">
        <f>+Data!E6</f>
        <v>0</v>
      </c>
      <c r="B6" t="e">
        <f>VLOOKUP(A6,Data!E:G,3,0)</f>
        <v>#N/A</v>
      </c>
      <c r="C6" t="e">
        <f>VLOOKUP(A6,Data!E:N,10,0)</f>
        <v>#N/A</v>
      </c>
      <c r="D6" s="3" t="e">
        <f>VLOOKUP(A6,Data!E:R,14,0)</f>
        <v>#N/A</v>
      </c>
      <c r="E6" t="e">
        <f t="shared" si="0"/>
        <v>#N/A</v>
      </c>
      <c r="F6" t="e">
        <f>+VLOOKUP(A6,Data!E:O,11,0)</f>
        <v>#N/A</v>
      </c>
      <c r="G6" t="e">
        <f>VLOOKUP(Table1[[#This Row],[Ship ID]],Data!E:H,4,0)</f>
        <v>#N/A</v>
      </c>
      <c r="H6" t="e">
        <f>+VLOOKUP(Table1[[#This Row],[Ship ID]],Data!E:J,6,0)</f>
        <v>#N/A</v>
      </c>
      <c r="I6" s="7" t="e">
        <f>VLOOKUP(Table1[[#This Row],[Ship ID]],Data!E:AB,24,0)</f>
        <v>#N/A</v>
      </c>
      <c r="K6" s="5" t="s">
        <v>14</v>
      </c>
      <c r="L6" s="6"/>
      <c r="M6" s="6"/>
    </row>
    <row r="7" spans="1:15" x14ac:dyDescent="0.25">
      <c r="A7" s="1">
        <f>+Data!E7</f>
        <v>0</v>
      </c>
      <c r="B7" t="e">
        <f>VLOOKUP(A7,Data!E:G,3,0)</f>
        <v>#N/A</v>
      </c>
      <c r="C7" t="e">
        <f>VLOOKUP(A7,Data!E:N,10,0)</f>
        <v>#N/A</v>
      </c>
      <c r="D7" s="3" t="e">
        <f>VLOOKUP(A7,Data!E:R,14,0)</f>
        <v>#N/A</v>
      </c>
      <c r="E7" t="e">
        <f t="shared" si="0"/>
        <v>#N/A</v>
      </c>
      <c r="F7" t="e">
        <f>+VLOOKUP(A7,Data!E:O,11,0)</f>
        <v>#N/A</v>
      </c>
      <c r="G7" t="e">
        <f>VLOOKUP(Table1[[#This Row],[Ship ID]],Data!E:H,4,0)</f>
        <v>#N/A</v>
      </c>
      <c r="H7" t="e">
        <f>+VLOOKUP(Table1[[#This Row],[Ship ID]],Data!E:J,6,0)</f>
        <v>#N/A</v>
      </c>
      <c r="I7" s="7" t="e">
        <f>VLOOKUP(Table1[[#This Row],[Ship ID]],Data!E:AB,24,0)</f>
        <v>#N/A</v>
      </c>
    </row>
    <row r="8" spans="1:15" x14ac:dyDescent="0.25">
      <c r="A8" s="1">
        <f>+Data!E8</f>
        <v>0</v>
      </c>
      <c r="B8" t="e">
        <f>VLOOKUP(A8,Data!E:G,3,0)</f>
        <v>#N/A</v>
      </c>
      <c r="C8" t="e">
        <f>VLOOKUP(A8,Data!E:N,10,0)</f>
        <v>#N/A</v>
      </c>
      <c r="D8" s="3" t="e">
        <f>VLOOKUP(A8,Data!E:R,14,0)</f>
        <v>#N/A</v>
      </c>
      <c r="E8" t="e">
        <f t="shared" si="0"/>
        <v>#N/A</v>
      </c>
      <c r="F8" t="e">
        <f>+VLOOKUP(A8,Data!E:O,11,0)</f>
        <v>#N/A</v>
      </c>
      <c r="G8" t="e">
        <f>VLOOKUP(Table1[[#This Row],[Ship ID]],Data!E:H,4,0)</f>
        <v>#N/A</v>
      </c>
      <c r="H8" t="e">
        <f>+VLOOKUP(Table1[[#This Row],[Ship ID]],Data!E:J,6,0)</f>
        <v>#N/A</v>
      </c>
      <c r="I8" s="7" t="e">
        <f>VLOOKUP(Table1[[#This Row],[Ship ID]],Data!E:AB,24,0)</f>
        <v>#N/A</v>
      </c>
    </row>
    <row r="9" spans="1:15" ht="15.75" thickBot="1" x14ac:dyDescent="0.3">
      <c r="A9" s="1">
        <f>+Data!E9</f>
        <v>0</v>
      </c>
      <c r="B9" t="e">
        <f>VLOOKUP(A9,Data!E:G,3,0)</f>
        <v>#N/A</v>
      </c>
      <c r="C9" t="e">
        <f>VLOOKUP(A9,Data!E:N,10,0)</f>
        <v>#N/A</v>
      </c>
      <c r="D9" s="3" t="e">
        <f>VLOOKUP(A9,Data!E:R,14,0)</f>
        <v>#N/A</v>
      </c>
      <c r="E9" t="e">
        <f t="shared" si="0"/>
        <v>#N/A</v>
      </c>
      <c r="F9" t="e">
        <f>+VLOOKUP(A9,Data!E:O,11,0)</f>
        <v>#N/A</v>
      </c>
      <c r="G9" t="e">
        <f>VLOOKUP(Table1[[#This Row],[Ship ID]],Data!E:H,4,0)</f>
        <v>#N/A</v>
      </c>
      <c r="H9" t="e">
        <f>+VLOOKUP(Table1[[#This Row],[Ship ID]],Data!E:J,6,0)</f>
        <v>#N/A</v>
      </c>
      <c r="I9" s="7" t="e">
        <f>VLOOKUP(Table1[[#This Row],[Ship ID]],Data!E:AB,24,0)</f>
        <v>#N/A</v>
      </c>
    </row>
    <row r="10" spans="1:15" ht="15.75" thickBot="1" x14ac:dyDescent="0.3">
      <c r="A10" s="1">
        <f>+Data!E10</f>
        <v>0</v>
      </c>
      <c r="B10" t="e">
        <f>VLOOKUP(A10,Data!E:G,3,0)</f>
        <v>#N/A</v>
      </c>
      <c r="C10" t="e">
        <f>VLOOKUP(A10,Data!E:N,10,0)</f>
        <v>#N/A</v>
      </c>
      <c r="D10" s="3" t="e">
        <f>VLOOKUP(A10,Data!E:R,14,0)</f>
        <v>#N/A</v>
      </c>
      <c r="E10" t="e">
        <f t="shared" si="0"/>
        <v>#N/A</v>
      </c>
      <c r="F10" t="e">
        <f>+VLOOKUP(A10,Data!E:O,11,0)</f>
        <v>#N/A</v>
      </c>
      <c r="G10" t="e">
        <f>VLOOKUP(Table1[[#This Row],[Ship ID]],Data!E:H,4,0)</f>
        <v>#N/A</v>
      </c>
      <c r="H10" t="e">
        <f>+VLOOKUP(Table1[[#This Row],[Ship ID]],Data!E:J,6,0)</f>
        <v>#N/A</v>
      </c>
      <c r="I10" s="7" t="e">
        <f>VLOOKUP(Table1[[#This Row],[Ship ID]],Data!E:AB,24,0)</f>
        <v>#N/A</v>
      </c>
      <c r="L10" s="8" t="e">
        <f>L9/P9</f>
        <v>#DIV/0!</v>
      </c>
      <c r="M10" s="9" t="e">
        <f>M9/Q9</f>
        <v>#DIV/0!</v>
      </c>
      <c r="N10" s="9" t="e">
        <f>N9/P9</f>
        <v>#DIV/0!</v>
      </c>
      <c r="O10" s="10" t="e">
        <f>(O9/Q9)</f>
        <v>#DIV/0!</v>
      </c>
    </row>
    <row r="11" spans="1:15" x14ac:dyDescent="0.25">
      <c r="A11" s="1">
        <f>+Data!E11</f>
        <v>0</v>
      </c>
      <c r="B11" t="e">
        <f>VLOOKUP(A11,Data!E:G,3,0)</f>
        <v>#N/A</v>
      </c>
      <c r="C11" t="e">
        <f>VLOOKUP(A11,Data!E:N,10,0)</f>
        <v>#N/A</v>
      </c>
      <c r="D11" s="3" t="e">
        <f>VLOOKUP(A11,Data!E:R,14,0)</f>
        <v>#N/A</v>
      </c>
      <c r="E11" t="e">
        <f t="shared" si="0"/>
        <v>#N/A</v>
      </c>
      <c r="F11" t="e">
        <f>+VLOOKUP(A11,Data!E:O,11,0)</f>
        <v>#N/A</v>
      </c>
      <c r="G11" t="e">
        <f>VLOOKUP(Table1[[#This Row],[Ship ID]],Data!E:H,4,0)</f>
        <v>#N/A</v>
      </c>
      <c r="H11" t="e">
        <f>+VLOOKUP(Table1[[#This Row],[Ship ID]],Data!E:J,6,0)</f>
        <v>#N/A</v>
      </c>
      <c r="I11" s="7" t="e">
        <f>VLOOKUP(Table1[[#This Row],[Ship ID]],Data!E:AB,24,0)</f>
        <v>#N/A</v>
      </c>
      <c r="K11" s="4" t="s">
        <v>1</v>
      </c>
      <c r="L11" t="s">
        <v>15</v>
      </c>
    </row>
    <row r="12" spans="1:15" x14ac:dyDescent="0.25">
      <c r="A12" s="1">
        <f>+Data!E12</f>
        <v>0</v>
      </c>
      <c r="B12" t="e">
        <f>VLOOKUP(A12,Data!E:G,3,0)</f>
        <v>#N/A</v>
      </c>
      <c r="C12" t="e">
        <f>VLOOKUP(A12,Data!E:N,10,0)</f>
        <v>#N/A</v>
      </c>
      <c r="D12" s="3" t="e">
        <f>VLOOKUP(A12,Data!E:R,14,0)</f>
        <v>#N/A</v>
      </c>
      <c r="E12" t="e">
        <f t="shared" si="0"/>
        <v>#N/A</v>
      </c>
      <c r="F12" t="e">
        <f>+VLOOKUP(A12,Data!E:O,11,0)</f>
        <v>#N/A</v>
      </c>
      <c r="G12" t="e">
        <f>VLOOKUP(Table1[[#This Row],[Ship ID]],Data!E:H,4,0)</f>
        <v>#N/A</v>
      </c>
      <c r="H12" t="e">
        <f>+VLOOKUP(Table1[[#This Row],[Ship ID]],Data!E:J,6,0)</f>
        <v>#N/A</v>
      </c>
      <c r="I12" s="7" t="e">
        <f>VLOOKUP(Table1[[#This Row],[Ship ID]],Data!E:AB,24,0)</f>
        <v>#N/A</v>
      </c>
      <c r="K12" s="4" t="s">
        <v>5</v>
      </c>
      <c r="L12" t="s">
        <v>15</v>
      </c>
    </row>
    <row r="13" spans="1:15" x14ac:dyDescent="0.25">
      <c r="A13" s="1">
        <f>+Data!E13</f>
        <v>0</v>
      </c>
      <c r="B13" t="e">
        <f>VLOOKUP(A13,Data!E:G,3,0)</f>
        <v>#N/A</v>
      </c>
      <c r="C13" t="e">
        <f>VLOOKUP(A13,Data!E:N,10,0)</f>
        <v>#N/A</v>
      </c>
      <c r="D13" s="3" t="e">
        <f>VLOOKUP(A13,Data!E:R,14,0)</f>
        <v>#N/A</v>
      </c>
      <c r="E13" t="e">
        <f t="shared" si="0"/>
        <v>#N/A</v>
      </c>
      <c r="F13" t="e">
        <f>+VLOOKUP(A13,Data!E:O,11,0)</f>
        <v>#N/A</v>
      </c>
      <c r="G13" t="e">
        <f>VLOOKUP(Table1[[#This Row],[Ship ID]],Data!E:H,4,0)</f>
        <v>#N/A</v>
      </c>
      <c r="H13" t="e">
        <f>+VLOOKUP(Table1[[#This Row],[Ship ID]],Data!E:J,6,0)</f>
        <v>#N/A</v>
      </c>
      <c r="I13" s="7" t="e">
        <f>VLOOKUP(Table1[[#This Row],[Ship ID]],Data!E:AB,24,0)</f>
        <v>#N/A</v>
      </c>
    </row>
    <row r="14" spans="1:15" x14ac:dyDescent="0.25">
      <c r="A14" s="1">
        <f>+Data!E14</f>
        <v>0</v>
      </c>
      <c r="B14" t="e">
        <f>VLOOKUP(A14,Data!E:G,3,0)</f>
        <v>#N/A</v>
      </c>
      <c r="C14" t="e">
        <f>VLOOKUP(A14,Data!E:N,10,0)</f>
        <v>#N/A</v>
      </c>
      <c r="D14" s="3" t="e">
        <f>VLOOKUP(A14,Data!E:R,14,0)</f>
        <v>#N/A</v>
      </c>
      <c r="E14" t="e">
        <f t="shared" si="0"/>
        <v>#N/A</v>
      </c>
      <c r="F14" t="e">
        <f>+VLOOKUP(A14,Data!E:O,11,0)</f>
        <v>#N/A</v>
      </c>
      <c r="G14" t="e">
        <f>VLOOKUP(Table1[[#This Row],[Ship ID]],Data!E:H,4,0)</f>
        <v>#N/A</v>
      </c>
      <c r="H14" t="e">
        <f>+VLOOKUP(Table1[[#This Row],[Ship ID]],Data!E:J,6,0)</f>
        <v>#N/A</v>
      </c>
      <c r="I14" s="7" t="e">
        <f>VLOOKUP(Table1[[#This Row],[Ship ID]],Data!E:AB,24,0)</f>
        <v>#N/A</v>
      </c>
      <c r="K14" s="4" t="s">
        <v>11</v>
      </c>
      <c r="L14" s="4" t="s">
        <v>12</v>
      </c>
    </row>
    <row r="15" spans="1:15" x14ac:dyDescent="0.25">
      <c r="A15" s="1">
        <f>+Data!E15</f>
        <v>0</v>
      </c>
      <c r="B15" t="e">
        <f>VLOOKUP(A15,Data!E:G,3,0)</f>
        <v>#N/A</v>
      </c>
      <c r="C15" t="e">
        <f>VLOOKUP(A15,Data!E:N,10,0)</f>
        <v>#N/A</v>
      </c>
      <c r="D15" s="3" t="e">
        <f>VLOOKUP(A15,Data!E:R,14,0)</f>
        <v>#N/A</v>
      </c>
      <c r="E15" t="e">
        <f t="shared" si="0"/>
        <v>#N/A</v>
      </c>
      <c r="F15" t="e">
        <f>+VLOOKUP(A15,Data!E:O,11,0)</f>
        <v>#N/A</v>
      </c>
      <c r="G15" t="e">
        <f>VLOOKUP(Table1[[#This Row],[Ship ID]],Data!E:H,4,0)</f>
        <v>#N/A</v>
      </c>
      <c r="H15" t="e">
        <f>+VLOOKUP(Table1[[#This Row],[Ship ID]],Data!E:J,6,0)</f>
        <v>#N/A</v>
      </c>
      <c r="I15" s="7" t="e">
        <f>VLOOKUP(Table1[[#This Row],[Ship ID]],Data!E:AB,24,0)</f>
        <v>#N/A</v>
      </c>
      <c r="K15" s="4" t="s">
        <v>13</v>
      </c>
      <c r="L15" t="s">
        <v>14</v>
      </c>
    </row>
    <row r="16" spans="1:15" x14ac:dyDescent="0.25">
      <c r="A16" s="1">
        <f>+Data!E16</f>
        <v>0</v>
      </c>
      <c r="B16" t="e">
        <f>VLOOKUP(A16,Data!E:G,3,0)</f>
        <v>#N/A</v>
      </c>
      <c r="C16" t="e">
        <f>VLOOKUP(A16,Data!E:N,10,0)</f>
        <v>#N/A</v>
      </c>
      <c r="D16" s="3" t="e">
        <f>VLOOKUP(A16,Data!E:R,14,0)</f>
        <v>#N/A</v>
      </c>
      <c r="E16" t="e">
        <f t="shared" si="0"/>
        <v>#N/A</v>
      </c>
      <c r="F16" t="e">
        <f>+VLOOKUP(A16,Data!E:O,11,0)</f>
        <v>#N/A</v>
      </c>
      <c r="G16" t="e">
        <f>VLOOKUP(Table1[[#This Row],[Ship ID]],Data!E:H,4,0)</f>
        <v>#N/A</v>
      </c>
      <c r="H16" t="e">
        <f>+VLOOKUP(Table1[[#This Row],[Ship ID]],Data!E:J,6,0)</f>
        <v>#N/A</v>
      </c>
      <c r="I16" s="7" t="e">
        <f>VLOOKUP(Table1[[#This Row],[Ship ID]],Data!E:AB,24,0)</f>
        <v>#N/A</v>
      </c>
      <c r="K16" s="5" t="s">
        <v>14</v>
      </c>
      <c r="L16" s="6"/>
    </row>
    <row r="17" spans="1:9" x14ac:dyDescent="0.25">
      <c r="A17" s="1">
        <f>+Data!E17</f>
        <v>0</v>
      </c>
      <c r="B17" t="e">
        <f>VLOOKUP(A17,Data!E:G,3,0)</f>
        <v>#N/A</v>
      </c>
      <c r="C17" t="e">
        <f>VLOOKUP(A17,Data!E:N,10,0)</f>
        <v>#N/A</v>
      </c>
      <c r="D17" s="3" t="e">
        <f>VLOOKUP(A17,Data!E:R,14,0)</f>
        <v>#N/A</v>
      </c>
      <c r="E17" t="e">
        <f t="shared" si="0"/>
        <v>#N/A</v>
      </c>
      <c r="F17" t="e">
        <f>+VLOOKUP(A17,Data!E:O,11,0)</f>
        <v>#N/A</v>
      </c>
      <c r="G17" t="e">
        <f>VLOOKUP(Table1[[#This Row],[Ship ID]],Data!E:H,4,0)</f>
        <v>#N/A</v>
      </c>
      <c r="H17" t="e">
        <f>+VLOOKUP(Table1[[#This Row],[Ship ID]],Data!E:J,6,0)</f>
        <v>#N/A</v>
      </c>
      <c r="I17" s="7" t="e">
        <f>VLOOKUP(Table1[[#This Row],[Ship ID]],Data!E:AB,24,0)</f>
        <v>#N/A</v>
      </c>
    </row>
    <row r="18" spans="1:9" x14ac:dyDescent="0.25">
      <c r="A18" s="1">
        <f>+Data!E18</f>
        <v>0</v>
      </c>
      <c r="B18" t="e">
        <f>VLOOKUP(A18,Data!E:G,3,0)</f>
        <v>#N/A</v>
      </c>
      <c r="C18" t="e">
        <f>VLOOKUP(A18,Data!E:N,10,0)</f>
        <v>#N/A</v>
      </c>
      <c r="D18" s="3" t="e">
        <f>VLOOKUP(A18,Data!E:R,14,0)</f>
        <v>#N/A</v>
      </c>
      <c r="E18" t="e">
        <f t="shared" si="0"/>
        <v>#N/A</v>
      </c>
      <c r="F18" t="e">
        <f>+VLOOKUP(A18,Data!E:O,11,0)</f>
        <v>#N/A</v>
      </c>
      <c r="G18" t="e">
        <f>VLOOKUP(Table1[[#This Row],[Ship ID]],Data!E:H,4,0)</f>
        <v>#N/A</v>
      </c>
      <c r="H18" t="e">
        <f>+VLOOKUP(Table1[[#This Row],[Ship ID]],Data!E:J,6,0)</f>
        <v>#N/A</v>
      </c>
      <c r="I18" s="7" t="e">
        <f>VLOOKUP(Table1[[#This Row],[Ship ID]],Data!E:AB,24,0)</f>
        <v>#N/A</v>
      </c>
    </row>
    <row r="19" spans="1:9" x14ac:dyDescent="0.25">
      <c r="A19" s="1">
        <f>+Data!E19</f>
        <v>0</v>
      </c>
      <c r="B19" t="e">
        <f>VLOOKUP(A19,Data!E:G,3,0)</f>
        <v>#N/A</v>
      </c>
      <c r="C19" t="e">
        <f>VLOOKUP(A19,Data!E:N,10,0)</f>
        <v>#N/A</v>
      </c>
      <c r="D19" s="3" t="e">
        <f>VLOOKUP(A19,Data!E:R,14,0)</f>
        <v>#N/A</v>
      </c>
      <c r="E19" t="e">
        <f t="shared" si="0"/>
        <v>#N/A</v>
      </c>
      <c r="F19" t="e">
        <f>+VLOOKUP(A19,Data!E:O,11,0)</f>
        <v>#N/A</v>
      </c>
      <c r="G19" t="e">
        <f>VLOOKUP(Table1[[#This Row],[Ship ID]],Data!E:H,4,0)</f>
        <v>#N/A</v>
      </c>
      <c r="H19" t="e">
        <f>+VLOOKUP(Table1[[#This Row],[Ship ID]],Data!E:J,6,0)</f>
        <v>#N/A</v>
      </c>
      <c r="I19" s="7" t="e">
        <f>VLOOKUP(Table1[[#This Row],[Ship ID]],Data!E:AB,24,0)</f>
        <v>#N/A</v>
      </c>
    </row>
    <row r="20" spans="1:9" x14ac:dyDescent="0.25">
      <c r="A20" s="1">
        <f>+Data!E20</f>
        <v>0</v>
      </c>
      <c r="B20" t="e">
        <f>VLOOKUP(A20,Data!E:G,3,0)</f>
        <v>#N/A</v>
      </c>
      <c r="C20" t="e">
        <f>VLOOKUP(A20,Data!E:N,10,0)</f>
        <v>#N/A</v>
      </c>
      <c r="D20" s="3" t="e">
        <f>VLOOKUP(A20,Data!E:R,14,0)</f>
        <v>#N/A</v>
      </c>
      <c r="E20" t="e">
        <f t="shared" si="0"/>
        <v>#N/A</v>
      </c>
      <c r="F20" t="e">
        <f>+VLOOKUP(A20,Data!E:O,11,0)</f>
        <v>#N/A</v>
      </c>
      <c r="G20" t="e">
        <f>VLOOKUP(Table1[[#This Row],[Ship ID]],Data!E:H,4,0)</f>
        <v>#N/A</v>
      </c>
      <c r="H20" t="e">
        <f>+VLOOKUP(Table1[[#This Row],[Ship ID]],Data!E:J,6,0)</f>
        <v>#N/A</v>
      </c>
      <c r="I20" s="7" t="e">
        <f>VLOOKUP(Table1[[#This Row],[Ship ID]],Data!E:AB,24,0)</f>
        <v>#N/A</v>
      </c>
    </row>
    <row r="21" spans="1:9" x14ac:dyDescent="0.25">
      <c r="A21" s="1">
        <f>+Data!E21</f>
        <v>0</v>
      </c>
      <c r="B21" t="e">
        <f>VLOOKUP(A21,Data!E:G,3,0)</f>
        <v>#N/A</v>
      </c>
      <c r="C21" t="e">
        <f>VLOOKUP(A21,Data!E:N,10,0)</f>
        <v>#N/A</v>
      </c>
      <c r="D21" s="3" t="e">
        <f>VLOOKUP(A21,Data!E:R,14,0)</f>
        <v>#N/A</v>
      </c>
      <c r="E21" t="e">
        <f t="shared" si="0"/>
        <v>#N/A</v>
      </c>
      <c r="F21" t="e">
        <f>+VLOOKUP(A21,Data!E:O,11,0)</f>
        <v>#N/A</v>
      </c>
      <c r="G21" t="e">
        <f>VLOOKUP(Table1[[#This Row],[Ship ID]],Data!E:H,4,0)</f>
        <v>#N/A</v>
      </c>
      <c r="H21" t="e">
        <f>+VLOOKUP(Table1[[#This Row],[Ship ID]],Data!E:J,6,0)</f>
        <v>#N/A</v>
      </c>
      <c r="I21" s="7" t="e">
        <f>VLOOKUP(Table1[[#This Row],[Ship ID]],Data!E:AB,24,0)</f>
        <v>#N/A</v>
      </c>
    </row>
    <row r="22" spans="1:9" x14ac:dyDescent="0.25">
      <c r="A22" s="1">
        <f>+Data!E22</f>
        <v>0</v>
      </c>
      <c r="B22" t="e">
        <f>VLOOKUP(A22,Data!E:G,3,0)</f>
        <v>#N/A</v>
      </c>
      <c r="C22" t="e">
        <f>VLOOKUP(A22,Data!E:N,10,0)</f>
        <v>#N/A</v>
      </c>
      <c r="D22" s="3" t="e">
        <f>VLOOKUP(A22,Data!E:R,14,0)</f>
        <v>#N/A</v>
      </c>
      <c r="E22" t="e">
        <f t="shared" si="0"/>
        <v>#N/A</v>
      </c>
      <c r="F22" t="e">
        <f>+VLOOKUP(A22,Data!E:O,11,0)</f>
        <v>#N/A</v>
      </c>
      <c r="G22" t="e">
        <f>VLOOKUP(Table1[[#This Row],[Ship ID]],Data!E:H,4,0)</f>
        <v>#N/A</v>
      </c>
      <c r="H22" t="e">
        <f>+VLOOKUP(Table1[[#This Row],[Ship ID]],Data!E:J,6,0)</f>
        <v>#N/A</v>
      </c>
      <c r="I22" s="7" t="e">
        <f>VLOOKUP(Table1[[#This Row],[Ship ID]],Data!E:AB,24,0)</f>
        <v>#N/A</v>
      </c>
    </row>
    <row r="23" spans="1:9" x14ac:dyDescent="0.25">
      <c r="A23" s="1">
        <f>+Data!E23</f>
        <v>0</v>
      </c>
      <c r="B23" t="e">
        <f>VLOOKUP(A23,Data!E:G,3,0)</f>
        <v>#N/A</v>
      </c>
      <c r="C23" t="e">
        <f>VLOOKUP(A23,Data!E:N,10,0)</f>
        <v>#N/A</v>
      </c>
      <c r="D23" s="3" t="e">
        <f>VLOOKUP(A23,Data!E:R,14,0)</f>
        <v>#N/A</v>
      </c>
      <c r="E23" t="e">
        <f t="shared" si="0"/>
        <v>#N/A</v>
      </c>
      <c r="F23" t="e">
        <f>+VLOOKUP(A23,Data!E:O,11,0)</f>
        <v>#N/A</v>
      </c>
      <c r="G23" t="e">
        <f>VLOOKUP(Table1[[#This Row],[Ship ID]],Data!E:H,4,0)</f>
        <v>#N/A</v>
      </c>
      <c r="H23" t="e">
        <f>+VLOOKUP(Table1[[#This Row],[Ship ID]],Data!E:J,6,0)</f>
        <v>#N/A</v>
      </c>
      <c r="I23" s="7" t="e">
        <f>VLOOKUP(Table1[[#This Row],[Ship ID]],Data!E:AB,24,0)</f>
        <v>#N/A</v>
      </c>
    </row>
    <row r="24" spans="1:9" x14ac:dyDescent="0.25">
      <c r="A24" s="1">
        <f>+Data!E24</f>
        <v>0</v>
      </c>
      <c r="B24" t="e">
        <f>VLOOKUP(A24,Data!E:G,3,0)</f>
        <v>#N/A</v>
      </c>
      <c r="C24" t="e">
        <f>VLOOKUP(A24,Data!E:N,10,0)</f>
        <v>#N/A</v>
      </c>
      <c r="D24" s="3" t="e">
        <f>VLOOKUP(A24,Data!E:R,14,0)</f>
        <v>#N/A</v>
      </c>
      <c r="E24" t="e">
        <f t="shared" si="0"/>
        <v>#N/A</v>
      </c>
      <c r="F24" t="e">
        <f>+VLOOKUP(A24,Data!E:O,11,0)</f>
        <v>#N/A</v>
      </c>
      <c r="G24" t="e">
        <f>VLOOKUP(Table1[[#This Row],[Ship ID]],Data!E:H,4,0)</f>
        <v>#N/A</v>
      </c>
      <c r="H24" t="e">
        <f>+VLOOKUP(Table1[[#This Row],[Ship ID]],Data!E:J,6,0)</f>
        <v>#N/A</v>
      </c>
      <c r="I24" s="7" t="e">
        <f>VLOOKUP(Table1[[#This Row],[Ship ID]],Data!E:AB,24,0)</f>
        <v>#N/A</v>
      </c>
    </row>
    <row r="25" spans="1:9" x14ac:dyDescent="0.25">
      <c r="A25" s="1">
        <f>+Data!E25</f>
        <v>0</v>
      </c>
      <c r="B25" t="e">
        <f>VLOOKUP(A25,Data!E:G,3,0)</f>
        <v>#N/A</v>
      </c>
      <c r="C25" t="e">
        <f>VLOOKUP(A25,Data!E:N,10,0)</f>
        <v>#N/A</v>
      </c>
      <c r="D25" s="3" t="e">
        <f>VLOOKUP(A25,Data!E:R,14,0)</f>
        <v>#N/A</v>
      </c>
      <c r="E25" t="e">
        <f t="shared" si="0"/>
        <v>#N/A</v>
      </c>
      <c r="F25" t="e">
        <f>+VLOOKUP(A25,Data!E:O,11,0)</f>
        <v>#N/A</v>
      </c>
      <c r="G25" t="e">
        <f>VLOOKUP(Table1[[#This Row],[Ship ID]],Data!E:H,4,0)</f>
        <v>#N/A</v>
      </c>
      <c r="H25" t="e">
        <f>+VLOOKUP(Table1[[#This Row],[Ship ID]],Data!E:J,6,0)</f>
        <v>#N/A</v>
      </c>
      <c r="I25" s="7" t="e">
        <f>VLOOKUP(Table1[[#This Row],[Ship ID]],Data!E:AB,24,0)</f>
        <v>#N/A</v>
      </c>
    </row>
    <row r="26" spans="1:9" x14ac:dyDescent="0.25">
      <c r="A26" s="1">
        <f>+Data!E26</f>
        <v>0</v>
      </c>
      <c r="B26" t="e">
        <f>VLOOKUP(A26,Data!E:G,3,0)</f>
        <v>#N/A</v>
      </c>
      <c r="C26" t="e">
        <f>VLOOKUP(A26,Data!E:N,10,0)</f>
        <v>#N/A</v>
      </c>
      <c r="D26" s="3" t="e">
        <f>VLOOKUP(A26,Data!E:R,14,0)</f>
        <v>#N/A</v>
      </c>
      <c r="E26" t="e">
        <f t="shared" si="0"/>
        <v>#N/A</v>
      </c>
      <c r="F26" t="e">
        <f>+VLOOKUP(A26,Data!E:O,11,0)</f>
        <v>#N/A</v>
      </c>
      <c r="G26" t="e">
        <f>VLOOKUP(Table1[[#This Row],[Ship ID]],Data!E:H,4,0)</f>
        <v>#N/A</v>
      </c>
      <c r="H26" t="e">
        <f>+VLOOKUP(Table1[[#This Row],[Ship ID]],Data!E:J,6,0)</f>
        <v>#N/A</v>
      </c>
      <c r="I26" s="7" t="e">
        <f>VLOOKUP(Table1[[#This Row],[Ship ID]],Data!E:AB,24,0)</f>
        <v>#N/A</v>
      </c>
    </row>
    <row r="27" spans="1:9" x14ac:dyDescent="0.25">
      <c r="A27" s="1">
        <f>+Data!E27</f>
        <v>0</v>
      </c>
      <c r="B27" t="e">
        <f>VLOOKUP(A27,Data!E:G,3,0)</f>
        <v>#N/A</v>
      </c>
      <c r="C27" t="e">
        <f>VLOOKUP(A27,Data!E:N,10,0)</f>
        <v>#N/A</v>
      </c>
      <c r="D27" s="3" t="e">
        <f>VLOOKUP(A27,Data!E:R,14,0)</f>
        <v>#N/A</v>
      </c>
      <c r="E27" t="e">
        <f t="shared" si="0"/>
        <v>#N/A</v>
      </c>
      <c r="F27" t="e">
        <f>+VLOOKUP(A27,Data!E:O,11,0)</f>
        <v>#N/A</v>
      </c>
      <c r="G27" t="e">
        <f>VLOOKUP(Table1[[#This Row],[Ship ID]],Data!E:H,4,0)</f>
        <v>#N/A</v>
      </c>
      <c r="H27" t="e">
        <f>+VLOOKUP(Table1[[#This Row],[Ship ID]],Data!E:J,6,0)</f>
        <v>#N/A</v>
      </c>
      <c r="I27" s="7" t="e">
        <f>VLOOKUP(Table1[[#This Row],[Ship ID]],Data!E:AB,24,0)</f>
        <v>#N/A</v>
      </c>
    </row>
    <row r="28" spans="1:9" x14ac:dyDescent="0.25">
      <c r="A28" s="1">
        <f>+Data!E28</f>
        <v>0</v>
      </c>
      <c r="B28" t="e">
        <f>VLOOKUP(A28,Data!E:G,3,0)</f>
        <v>#N/A</v>
      </c>
      <c r="C28" t="e">
        <f>VLOOKUP(A28,Data!E:N,10,0)</f>
        <v>#N/A</v>
      </c>
      <c r="D28" s="3" t="e">
        <f>VLOOKUP(A28,Data!E:R,14,0)</f>
        <v>#N/A</v>
      </c>
      <c r="E28" t="e">
        <f t="shared" si="0"/>
        <v>#N/A</v>
      </c>
      <c r="F28" t="e">
        <f>+VLOOKUP(A28,Data!E:O,11,0)</f>
        <v>#N/A</v>
      </c>
      <c r="G28" t="e">
        <f>VLOOKUP(Table1[[#This Row],[Ship ID]],Data!E:H,4,0)</f>
        <v>#N/A</v>
      </c>
      <c r="H28" t="e">
        <f>+VLOOKUP(Table1[[#This Row],[Ship ID]],Data!E:J,6,0)</f>
        <v>#N/A</v>
      </c>
      <c r="I28" s="7" t="e">
        <f>VLOOKUP(Table1[[#This Row],[Ship ID]],Data!E:AB,24,0)</f>
        <v>#N/A</v>
      </c>
    </row>
    <row r="29" spans="1:9" x14ac:dyDescent="0.25">
      <c r="A29" s="1">
        <f>+Data!E29</f>
        <v>0</v>
      </c>
      <c r="B29" t="e">
        <f>VLOOKUP(A29,Data!E:G,3,0)</f>
        <v>#N/A</v>
      </c>
      <c r="C29" t="e">
        <f>VLOOKUP(A29,Data!E:N,10,0)</f>
        <v>#N/A</v>
      </c>
      <c r="D29" s="3" t="e">
        <f>VLOOKUP(A29,Data!E:R,14,0)</f>
        <v>#N/A</v>
      </c>
      <c r="E29" t="e">
        <f t="shared" si="0"/>
        <v>#N/A</v>
      </c>
      <c r="F29" t="e">
        <f>+VLOOKUP(A29,Data!E:O,11,0)</f>
        <v>#N/A</v>
      </c>
      <c r="G29" t="e">
        <f>VLOOKUP(Table1[[#This Row],[Ship ID]],Data!E:H,4,0)</f>
        <v>#N/A</v>
      </c>
      <c r="H29" t="e">
        <f>+VLOOKUP(Table1[[#This Row],[Ship ID]],Data!E:J,6,0)</f>
        <v>#N/A</v>
      </c>
      <c r="I29" s="7" t="e">
        <f>VLOOKUP(Table1[[#This Row],[Ship ID]],Data!E:AB,24,0)</f>
        <v>#N/A</v>
      </c>
    </row>
    <row r="30" spans="1:9" x14ac:dyDescent="0.25">
      <c r="A30" s="1">
        <f>+Data!E30</f>
        <v>0</v>
      </c>
      <c r="B30" t="e">
        <f>VLOOKUP(A30,Data!E:G,3,0)</f>
        <v>#N/A</v>
      </c>
      <c r="C30" t="e">
        <f>VLOOKUP(A30,Data!E:N,10,0)</f>
        <v>#N/A</v>
      </c>
      <c r="D30" s="3" t="e">
        <f>VLOOKUP(A30,Data!E:R,14,0)</f>
        <v>#N/A</v>
      </c>
      <c r="E30" t="e">
        <f t="shared" si="0"/>
        <v>#N/A</v>
      </c>
      <c r="F30" t="e">
        <f>+VLOOKUP(A30,Data!E:O,11,0)</f>
        <v>#N/A</v>
      </c>
      <c r="G30" t="e">
        <f>VLOOKUP(Table1[[#This Row],[Ship ID]],Data!E:H,4,0)</f>
        <v>#N/A</v>
      </c>
      <c r="H30" t="e">
        <f>+VLOOKUP(Table1[[#This Row],[Ship ID]],Data!E:J,6,0)</f>
        <v>#N/A</v>
      </c>
      <c r="I30" s="7" t="e">
        <f>VLOOKUP(Table1[[#This Row],[Ship ID]],Data!E:AB,24,0)</f>
        <v>#N/A</v>
      </c>
    </row>
    <row r="31" spans="1:9" x14ac:dyDescent="0.25">
      <c r="A31" s="1">
        <f>+Data!E31</f>
        <v>0</v>
      </c>
      <c r="B31" t="e">
        <f>VLOOKUP(A31,Data!E:G,3,0)</f>
        <v>#N/A</v>
      </c>
      <c r="C31" t="e">
        <f>VLOOKUP(A31,Data!E:N,10,0)</f>
        <v>#N/A</v>
      </c>
      <c r="D31" s="3" t="e">
        <f>VLOOKUP(A31,Data!E:R,14,0)</f>
        <v>#N/A</v>
      </c>
      <c r="E31" t="e">
        <f t="shared" si="0"/>
        <v>#N/A</v>
      </c>
      <c r="F31" t="e">
        <f>+VLOOKUP(A31,Data!E:O,11,0)</f>
        <v>#N/A</v>
      </c>
      <c r="G31" t="e">
        <f>VLOOKUP(Table1[[#This Row],[Ship ID]],Data!E:H,4,0)</f>
        <v>#N/A</v>
      </c>
      <c r="H31" t="e">
        <f>+VLOOKUP(Table1[[#This Row],[Ship ID]],Data!E:J,6,0)</f>
        <v>#N/A</v>
      </c>
      <c r="I31" s="7" t="e">
        <f>VLOOKUP(Table1[[#This Row],[Ship ID]],Data!E:AB,24,0)</f>
        <v>#N/A</v>
      </c>
    </row>
    <row r="32" spans="1:9" x14ac:dyDescent="0.25">
      <c r="A32" s="1">
        <f>+Data!E32</f>
        <v>0</v>
      </c>
      <c r="B32" t="e">
        <f>VLOOKUP(A32,Data!E:G,3,0)</f>
        <v>#N/A</v>
      </c>
      <c r="C32" t="e">
        <f>VLOOKUP(A32,Data!E:N,10,0)</f>
        <v>#N/A</v>
      </c>
      <c r="D32" s="3" t="e">
        <f>VLOOKUP(A32,Data!E:R,14,0)</f>
        <v>#N/A</v>
      </c>
      <c r="E32" t="e">
        <f t="shared" si="0"/>
        <v>#N/A</v>
      </c>
      <c r="F32" t="e">
        <f>+VLOOKUP(A32,Data!E:O,11,0)</f>
        <v>#N/A</v>
      </c>
      <c r="G32" t="e">
        <f>VLOOKUP(Table1[[#This Row],[Ship ID]],Data!E:H,4,0)</f>
        <v>#N/A</v>
      </c>
      <c r="H32" t="e">
        <f>+VLOOKUP(Table1[[#This Row],[Ship ID]],Data!E:J,6,0)</f>
        <v>#N/A</v>
      </c>
      <c r="I32" s="7" t="e">
        <f>VLOOKUP(Table1[[#This Row],[Ship ID]],Data!E:AB,24,0)</f>
        <v>#N/A</v>
      </c>
    </row>
    <row r="33" spans="1:9" x14ac:dyDescent="0.25">
      <c r="A33" s="1">
        <f>+Data!E33</f>
        <v>0</v>
      </c>
      <c r="B33" t="e">
        <f>VLOOKUP(A33,Data!E:G,3,0)</f>
        <v>#N/A</v>
      </c>
      <c r="C33" t="e">
        <f>VLOOKUP(A33,Data!E:N,10,0)</f>
        <v>#N/A</v>
      </c>
      <c r="D33" s="3" t="e">
        <f>VLOOKUP(A33,Data!E:R,14,0)</f>
        <v>#N/A</v>
      </c>
      <c r="E33" t="e">
        <f t="shared" si="0"/>
        <v>#N/A</v>
      </c>
      <c r="F33" t="e">
        <f>+VLOOKUP(A33,Data!E:O,11,0)</f>
        <v>#N/A</v>
      </c>
      <c r="G33" t="e">
        <f>VLOOKUP(Table1[[#This Row],[Ship ID]],Data!E:H,4,0)</f>
        <v>#N/A</v>
      </c>
      <c r="H33" t="e">
        <f>+VLOOKUP(Table1[[#This Row],[Ship ID]],Data!E:J,6,0)</f>
        <v>#N/A</v>
      </c>
      <c r="I33" s="7" t="e">
        <f>VLOOKUP(Table1[[#This Row],[Ship ID]],Data!E:AB,24,0)</f>
        <v>#N/A</v>
      </c>
    </row>
    <row r="34" spans="1:9" x14ac:dyDescent="0.25">
      <c r="A34" s="1">
        <f>+Data!E34</f>
        <v>0</v>
      </c>
      <c r="B34" t="e">
        <f>VLOOKUP(A34,Data!E:G,3,0)</f>
        <v>#N/A</v>
      </c>
      <c r="C34" t="e">
        <f>VLOOKUP(A34,Data!E:N,10,0)</f>
        <v>#N/A</v>
      </c>
      <c r="D34" s="3" t="e">
        <f>VLOOKUP(A34,Data!E:R,14,0)</f>
        <v>#N/A</v>
      </c>
      <c r="E34" t="e">
        <f t="shared" si="0"/>
        <v>#N/A</v>
      </c>
      <c r="F34" t="e">
        <f>+VLOOKUP(A34,Data!E:O,11,0)</f>
        <v>#N/A</v>
      </c>
      <c r="G34" t="e">
        <f>VLOOKUP(Table1[[#This Row],[Ship ID]],Data!E:H,4,0)</f>
        <v>#N/A</v>
      </c>
      <c r="H34" t="e">
        <f>+VLOOKUP(Table1[[#This Row],[Ship ID]],Data!E:J,6,0)</f>
        <v>#N/A</v>
      </c>
      <c r="I34" s="7" t="e">
        <f>VLOOKUP(Table1[[#This Row],[Ship ID]],Data!E:AB,24,0)</f>
        <v>#N/A</v>
      </c>
    </row>
    <row r="35" spans="1:9" x14ac:dyDescent="0.25">
      <c r="A35" s="1">
        <f>+Data!E35</f>
        <v>0</v>
      </c>
      <c r="B35" t="e">
        <f>VLOOKUP(A35,Data!E:G,3,0)</f>
        <v>#N/A</v>
      </c>
      <c r="C35" t="e">
        <f>VLOOKUP(A35,Data!E:N,10,0)</f>
        <v>#N/A</v>
      </c>
      <c r="D35" s="3" t="e">
        <f>VLOOKUP(A35,Data!E:R,14,0)</f>
        <v>#N/A</v>
      </c>
      <c r="E35" t="e">
        <f t="shared" si="0"/>
        <v>#N/A</v>
      </c>
      <c r="F35" t="e">
        <f>+VLOOKUP(A35,Data!E:O,11,0)</f>
        <v>#N/A</v>
      </c>
      <c r="G35" t="e">
        <f>VLOOKUP(Table1[[#This Row],[Ship ID]],Data!E:H,4,0)</f>
        <v>#N/A</v>
      </c>
      <c r="H35" t="e">
        <f>+VLOOKUP(Table1[[#This Row],[Ship ID]],Data!E:J,6,0)</f>
        <v>#N/A</v>
      </c>
      <c r="I35" s="7" t="e">
        <f>VLOOKUP(Table1[[#This Row],[Ship ID]],Data!E:AB,24,0)</f>
        <v>#N/A</v>
      </c>
    </row>
    <row r="36" spans="1:9" x14ac:dyDescent="0.25">
      <c r="A36" s="1">
        <f>+Data!E36</f>
        <v>0</v>
      </c>
      <c r="B36" t="e">
        <f>VLOOKUP(A36,Data!E:G,3,0)</f>
        <v>#N/A</v>
      </c>
      <c r="C36" t="e">
        <f>VLOOKUP(A36,Data!E:N,10,0)</f>
        <v>#N/A</v>
      </c>
      <c r="D36" s="3" t="e">
        <f>VLOOKUP(A36,Data!E:R,14,0)</f>
        <v>#N/A</v>
      </c>
      <c r="E36" t="e">
        <f t="shared" si="0"/>
        <v>#N/A</v>
      </c>
      <c r="F36" t="e">
        <f>+VLOOKUP(A36,Data!E:O,11,0)</f>
        <v>#N/A</v>
      </c>
      <c r="G36" t="e">
        <f>VLOOKUP(Table1[[#This Row],[Ship ID]],Data!E:H,4,0)</f>
        <v>#N/A</v>
      </c>
      <c r="H36" t="e">
        <f>+VLOOKUP(Table1[[#This Row],[Ship ID]],Data!E:J,6,0)</f>
        <v>#N/A</v>
      </c>
      <c r="I36" s="7" t="e">
        <f>VLOOKUP(Table1[[#This Row],[Ship ID]],Data!E:AB,24,0)</f>
        <v>#N/A</v>
      </c>
    </row>
    <row r="37" spans="1:9" x14ac:dyDescent="0.25">
      <c r="A37" s="1">
        <f>+Data!E37</f>
        <v>0</v>
      </c>
      <c r="B37" t="e">
        <f>VLOOKUP(A37,Data!E:G,3,0)</f>
        <v>#N/A</v>
      </c>
      <c r="C37" t="e">
        <f>VLOOKUP(A37,Data!E:N,10,0)</f>
        <v>#N/A</v>
      </c>
      <c r="D37" s="3" t="e">
        <f>VLOOKUP(A37,Data!E:R,14,0)</f>
        <v>#N/A</v>
      </c>
      <c r="E37" t="e">
        <f t="shared" si="0"/>
        <v>#N/A</v>
      </c>
      <c r="F37" t="e">
        <f>+VLOOKUP(A37,Data!E:O,11,0)</f>
        <v>#N/A</v>
      </c>
      <c r="G37" t="e">
        <f>VLOOKUP(Table1[[#This Row],[Ship ID]],Data!E:H,4,0)</f>
        <v>#N/A</v>
      </c>
      <c r="H37" t="e">
        <f>+VLOOKUP(Table1[[#This Row],[Ship ID]],Data!E:J,6,0)</f>
        <v>#N/A</v>
      </c>
      <c r="I37" s="7" t="e">
        <f>VLOOKUP(Table1[[#This Row],[Ship ID]],Data!E:AB,24,0)</f>
        <v>#N/A</v>
      </c>
    </row>
    <row r="38" spans="1:9" x14ac:dyDescent="0.25">
      <c r="A38" s="1">
        <f>+Data!E38</f>
        <v>0</v>
      </c>
      <c r="B38" t="e">
        <f>VLOOKUP(A38,Data!E:G,3,0)</f>
        <v>#N/A</v>
      </c>
      <c r="C38" t="e">
        <f>VLOOKUP(A38,Data!E:N,10,0)</f>
        <v>#N/A</v>
      </c>
      <c r="D38" s="3" t="e">
        <f>VLOOKUP(A38,Data!E:R,14,0)</f>
        <v>#N/A</v>
      </c>
      <c r="E38" t="e">
        <f t="shared" si="0"/>
        <v>#N/A</v>
      </c>
      <c r="F38" t="e">
        <f>+VLOOKUP(A38,Data!E:O,11,0)</f>
        <v>#N/A</v>
      </c>
      <c r="G38" t="e">
        <f>VLOOKUP(Table1[[#This Row],[Ship ID]],Data!E:H,4,0)</f>
        <v>#N/A</v>
      </c>
      <c r="H38" t="e">
        <f>+VLOOKUP(Table1[[#This Row],[Ship ID]],Data!E:J,6,0)</f>
        <v>#N/A</v>
      </c>
      <c r="I38" s="7" t="e">
        <f>VLOOKUP(Table1[[#This Row],[Ship ID]],Data!E:AB,24,0)</f>
        <v>#N/A</v>
      </c>
    </row>
    <row r="39" spans="1:9" x14ac:dyDescent="0.25">
      <c r="A39" s="1">
        <f>+Data!E39</f>
        <v>0</v>
      </c>
      <c r="B39" t="e">
        <f>VLOOKUP(A39,Data!E:G,3,0)</f>
        <v>#N/A</v>
      </c>
      <c r="C39" t="e">
        <f>VLOOKUP(A39,Data!E:N,10,0)</f>
        <v>#N/A</v>
      </c>
      <c r="D39" s="3" t="e">
        <f>VLOOKUP(A39,Data!E:R,14,0)</f>
        <v>#N/A</v>
      </c>
      <c r="E39" t="e">
        <f t="shared" si="0"/>
        <v>#N/A</v>
      </c>
      <c r="F39" t="e">
        <f>+VLOOKUP(A39,Data!E:O,11,0)</f>
        <v>#N/A</v>
      </c>
      <c r="G39" t="e">
        <f>VLOOKUP(Table1[[#This Row],[Ship ID]],Data!E:H,4,0)</f>
        <v>#N/A</v>
      </c>
      <c r="H39" t="e">
        <f>+VLOOKUP(Table1[[#This Row],[Ship ID]],Data!E:J,6,0)</f>
        <v>#N/A</v>
      </c>
      <c r="I39" s="7" t="e">
        <f>VLOOKUP(Table1[[#This Row],[Ship ID]],Data!E:AB,24,0)</f>
        <v>#N/A</v>
      </c>
    </row>
    <row r="40" spans="1:9" x14ac:dyDescent="0.25">
      <c r="A40" s="1">
        <f>+Data!E40</f>
        <v>0</v>
      </c>
      <c r="B40" t="e">
        <f>VLOOKUP(A40,Data!E:G,3,0)</f>
        <v>#N/A</v>
      </c>
      <c r="C40" t="e">
        <f>VLOOKUP(A40,Data!E:N,10,0)</f>
        <v>#N/A</v>
      </c>
      <c r="D40" s="3" t="e">
        <f>VLOOKUP(A40,Data!E:R,14,0)</f>
        <v>#N/A</v>
      </c>
      <c r="E40" t="e">
        <f t="shared" si="0"/>
        <v>#N/A</v>
      </c>
      <c r="F40" t="e">
        <f>+VLOOKUP(A40,Data!E:O,11,0)</f>
        <v>#N/A</v>
      </c>
      <c r="G40" t="e">
        <f>VLOOKUP(Table1[[#This Row],[Ship ID]],Data!E:H,4,0)</f>
        <v>#N/A</v>
      </c>
      <c r="H40" t="e">
        <f>+VLOOKUP(Table1[[#This Row],[Ship ID]],Data!E:J,6,0)</f>
        <v>#N/A</v>
      </c>
      <c r="I40" s="7" t="e">
        <f>VLOOKUP(Table1[[#This Row],[Ship ID]],Data!E:AB,24,0)</f>
        <v>#N/A</v>
      </c>
    </row>
    <row r="41" spans="1:9" x14ac:dyDescent="0.25">
      <c r="A41" s="1">
        <f>+Data!E41</f>
        <v>0</v>
      </c>
      <c r="B41" t="e">
        <f>VLOOKUP(A41,Data!E:G,3,0)</f>
        <v>#N/A</v>
      </c>
      <c r="C41" t="e">
        <f>VLOOKUP(A41,Data!E:N,10,0)</f>
        <v>#N/A</v>
      </c>
      <c r="D41" s="3" t="e">
        <f>VLOOKUP(A41,Data!E:R,14,0)</f>
        <v>#N/A</v>
      </c>
      <c r="E41" t="e">
        <f t="shared" si="0"/>
        <v>#N/A</v>
      </c>
      <c r="F41" t="e">
        <f>+VLOOKUP(A41,Data!E:O,11,0)</f>
        <v>#N/A</v>
      </c>
      <c r="G41" t="e">
        <f>VLOOKUP(Table1[[#This Row],[Ship ID]],Data!E:H,4,0)</f>
        <v>#N/A</v>
      </c>
      <c r="H41" t="e">
        <f>+VLOOKUP(Table1[[#This Row],[Ship ID]],Data!E:J,6,0)</f>
        <v>#N/A</v>
      </c>
      <c r="I41" s="7" t="e">
        <f>VLOOKUP(Table1[[#This Row],[Ship ID]],Data!E:AB,24,0)</f>
        <v>#N/A</v>
      </c>
    </row>
    <row r="42" spans="1:9" x14ac:dyDescent="0.25">
      <c r="A42" s="1">
        <f>+Data!E42</f>
        <v>0</v>
      </c>
      <c r="B42" t="e">
        <f>VLOOKUP(A42,Data!E:G,3,0)</f>
        <v>#N/A</v>
      </c>
      <c r="C42" t="e">
        <f>VLOOKUP(A42,Data!E:N,10,0)</f>
        <v>#N/A</v>
      </c>
      <c r="D42" s="3" t="e">
        <f>VLOOKUP(A42,Data!E:R,14,0)</f>
        <v>#N/A</v>
      </c>
      <c r="E42" t="e">
        <f t="shared" si="0"/>
        <v>#N/A</v>
      </c>
      <c r="F42" t="e">
        <f>+VLOOKUP(A42,Data!E:O,11,0)</f>
        <v>#N/A</v>
      </c>
      <c r="G42" t="e">
        <f>VLOOKUP(Table1[[#This Row],[Ship ID]],Data!E:H,4,0)</f>
        <v>#N/A</v>
      </c>
      <c r="H42" t="e">
        <f>+VLOOKUP(Table1[[#This Row],[Ship ID]],Data!E:J,6,0)</f>
        <v>#N/A</v>
      </c>
      <c r="I42" s="7" t="e">
        <f>VLOOKUP(Table1[[#This Row],[Ship ID]],Data!E:AB,24,0)</f>
        <v>#N/A</v>
      </c>
    </row>
    <row r="43" spans="1:9" x14ac:dyDescent="0.25">
      <c r="A43" s="1">
        <f>+Data!E43</f>
        <v>0</v>
      </c>
      <c r="B43" t="e">
        <f>VLOOKUP(A43,Data!E:G,3,0)</f>
        <v>#N/A</v>
      </c>
      <c r="C43" t="e">
        <f>VLOOKUP(A43,Data!E:N,10,0)</f>
        <v>#N/A</v>
      </c>
      <c r="D43" s="3" t="e">
        <f>VLOOKUP(A43,Data!E:R,14,0)</f>
        <v>#N/A</v>
      </c>
      <c r="E43" t="e">
        <f t="shared" si="0"/>
        <v>#N/A</v>
      </c>
      <c r="F43" t="e">
        <f>+VLOOKUP(A43,Data!E:O,11,0)</f>
        <v>#N/A</v>
      </c>
      <c r="G43" t="e">
        <f>VLOOKUP(Table1[[#This Row],[Ship ID]],Data!E:H,4,0)</f>
        <v>#N/A</v>
      </c>
      <c r="H43" t="e">
        <f>+VLOOKUP(Table1[[#This Row],[Ship ID]],Data!E:J,6,0)</f>
        <v>#N/A</v>
      </c>
      <c r="I43" s="7" t="e">
        <f>VLOOKUP(Table1[[#This Row],[Ship ID]],Data!E:AB,24,0)</f>
        <v>#N/A</v>
      </c>
    </row>
    <row r="44" spans="1:9" x14ac:dyDescent="0.25">
      <c r="A44" s="1">
        <f>+Data!E44</f>
        <v>0</v>
      </c>
      <c r="B44" t="e">
        <f>VLOOKUP(A44,Data!E:G,3,0)</f>
        <v>#N/A</v>
      </c>
      <c r="C44" t="e">
        <f>VLOOKUP(A44,Data!E:N,10,0)</f>
        <v>#N/A</v>
      </c>
      <c r="D44" s="3" t="e">
        <f>VLOOKUP(A44,Data!E:R,14,0)</f>
        <v>#N/A</v>
      </c>
      <c r="E44" t="e">
        <f t="shared" si="0"/>
        <v>#N/A</v>
      </c>
      <c r="F44" t="e">
        <f>+VLOOKUP(A44,Data!E:O,11,0)</f>
        <v>#N/A</v>
      </c>
      <c r="G44" t="e">
        <f>VLOOKUP(Table1[[#This Row],[Ship ID]],Data!E:H,4,0)</f>
        <v>#N/A</v>
      </c>
      <c r="H44" t="e">
        <f>+VLOOKUP(Table1[[#This Row],[Ship ID]],Data!E:J,6,0)</f>
        <v>#N/A</v>
      </c>
      <c r="I44" s="7" t="e">
        <f>VLOOKUP(Table1[[#This Row],[Ship ID]],Data!E:AB,24,0)</f>
        <v>#N/A</v>
      </c>
    </row>
    <row r="45" spans="1:9" x14ac:dyDescent="0.25">
      <c r="A45" s="1">
        <f>+Data!E45</f>
        <v>0</v>
      </c>
      <c r="B45" t="e">
        <f>VLOOKUP(A45,Data!E:G,3,0)</f>
        <v>#N/A</v>
      </c>
      <c r="C45" t="e">
        <f>VLOOKUP(A45,Data!E:N,10,0)</f>
        <v>#N/A</v>
      </c>
      <c r="D45" s="3" t="e">
        <f>VLOOKUP(A45,Data!E:R,14,0)</f>
        <v>#N/A</v>
      </c>
      <c r="E45" t="e">
        <f t="shared" si="0"/>
        <v>#N/A</v>
      </c>
      <c r="F45" t="e">
        <f>+VLOOKUP(A45,Data!E:O,11,0)</f>
        <v>#N/A</v>
      </c>
      <c r="G45" t="e">
        <f>VLOOKUP(Table1[[#This Row],[Ship ID]],Data!E:H,4,0)</f>
        <v>#N/A</v>
      </c>
      <c r="H45" t="e">
        <f>+VLOOKUP(Table1[[#This Row],[Ship ID]],Data!E:J,6,0)</f>
        <v>#N/A</v>
      </c>
      <c r="I45" s="7" t="e">
        <f>VLOOKUP(Table1[[#This Row],[Ship ID]],Data!E:AB,24,0)</f>
        <v>#N/A</v>
      </c>
    </row>
    <row r="46" spans="1:9" x14ac:dyDescent="0.25">
      <c r="A46" s="1">
        <f>+Data!E46</f>
        <v>0</v>
      </c>
      <c r="B46" t="e">
        <f>VLOOKUP(A46,Data!E:G,3,0)</f>
        <v>#N/A</v>
      </c>
      <c r="C46" t="e">
        <f>VLOOKUP(A46,Data!E:N,10,0)</f>
        <v>#N/A</v>
      </c>
      <c r="D46" s="3" t="e">
        <f>VLOOKUP(A46,Data!E:R,14,0)</f>
        <v>#N/A</v>
      </c>
      <c r="E46" t="e">
        <f t="shared" si="0"/>
        <v>#N/A</v>
      </c>
      <c r="F46" t="e">
        <f>+VLOOKUP(A46,Data!E:O,11,0)</f>
        <v>#N/A</v>
      </c>
      <c r="G46" t="e">
        <f>VLOOKUP(Table1[[#This Row],[Ship ID]],Data!E:H,4,0)</f>
        <v>#N/A</v>
      </c>
      <c r="H46" t="e">
        <f>+VLOOKUP(Table1[[#This Row],[Ship ID]],Data!E:J,6,0)</f>
        <v>#N/A</v>
      </c>
      <c r="I46" s="7" t="e">
        <f>VLOOKUP(Table1[[#This Row],[Ship ID]],Data!E:AB,24,0)</f>
        <v>#N/A</v>
      </c>
    </row>
    <row r="47" spans="1:9" x14ac:dyDescent="0.25">
      <c r="A47" s="1">
        <f>+Data!E47</f>
        <v>0</v>
      </c>
      <c r="B47" t="e">
        <f>VLOOKUP(A47,Data!E:G,3,0)</f>
        <v>#N/A</v>
      </c>
      <c r="C47" t="e">
        <f>VLOOKUP(A47,Data!E:N,10,0)</f>
        <v>#N/A</v>
      </c>
      <c r="D47" s="3" t="e">
        <f>VLOOKUP(A47,Data!E:R,14,0)</f>
        <v>#N/A</v>
      </c>
      <c r="E47" t="e">
        <f t="shared" si="0"/>
        <v>#N/A</v>
      </c>
      <c r="F47" t="e">
        <f>+VLOOKUP(A47,Data!E:O,11,0)</f>
        <v>#N/A</v>
      </c>
      <c r="G47" t="e">
        <f>VLOOKUP(Table1[[#This Row],[Ship ID]],Data!E:H,4,0)</f>
        <v>#N/A</v>
      </c>
      <c r="H47" t="e">
        <f>+VLOOKUP(Table1[[#This Row],[Ship ID]],Data!E:J,6,0)</f>
        <v>#N/A</v>
      </c>
      <c r="I47" s="7" t="e">
        <f>VLOOKUP(Table1[[#This Row],[Ship ID]],Data!E:AB,24,0)</f>
        <v>#N/A</v>
      </c>
    </row>
    <row r="48" spans="1:9" x14ac:dyDescent="0.25">
      <c r="A48" s="1">
        <f>+Data!E48</f>
        <v>0</v>
      </c>
      <c r="B48" t="e">
        <f>VLOOKUP(A48,Data!E:G,3,0)</f>
        <v>#N/A</v>
      </c>
      <c r="C48" t="e">
        <f>VLOOKUP(A48,Data!E:N,10,0)</f>
        <v>#N/A</v>
      </c>
      <c r="D48" s="3" t="e">
        <f>VLOOKUP(A48,Data!E:R,14,0)</f>
        <v>#N/A</v>
      </c>
      <c r="E48" t="e">
        <f t="shared" si="0"/>
        <v>#N/A</v>
      </c>
      <c r="F48" t="e">
        <f>+VLOOKUP(A48,Data!E:O,11,0)</f>
        <v>#N/A</v>
      </c>
      <c r="G48" t="e">
        <f>VLOOKUP(Table1[[#This Row],[Ship ID]],Data!E:H,4,0)</f>
        <v>#N/A</v>
      </c>
      <c r="H48" t="e">
        <f>+VLOOKUP(Table1[[#This Row],[Ship ID]],Data!E:J,6,0)</f>
        <v>#N/A</v>
      </c>
      <c r="I48" s="7" t="e">
        <f>VLOOKUP(Table1[[#This Row],[Ship ID]],Data!E:AB,24,0)</f>
        <v>#N/A</v>
      </c>
    </row>
    <row r="49" spans="1:9" x14ac:dyDescent="0.25">
      <c r="A49" s="1">
        <f>+Data!E49</f>
        <v>0</v>
      </c>
      <c r="B49" t="e">
        <f>VLOOKUP(A49,Data!E:G,3,0)</f>
        <v>#N/A</v>
      </c>
      <c r="C49" t="e">
        <f>VLOOKUP(A49,Data!E:N,10,0)</f>
        <v>#N/A</v>
      </c>
      <c r="D49" s="3" t="e">
        <f>VLOOKUP(A49,Data!E:R,14,0)</f>
        <v>#N/A</v>
      </c>
      <c r="E49" t="e">
        <f t="shared" si="0"/>
        <v>#N/A</v>
      </c>
      <c r="F49" t="e">
        <f>+VLOOKUP(A49,Data!E:O,11,0)</f>
        <v>#N/A</v>
      </c>
      <c r="G49" t="e">
        <f>VLOOKUP(Table1[[#This Row],[Ship ID]],Data!E:H,4,0)</f>
        <v>#N/A</v>
      </c>
      <c r="H49" t="e">
        <f>+VLOOKUP(Table1[[#This Row],[Ship ID]],Data!E:J,6,0)</f>
        <v>#N/A</v>
      </c>
      <c r="I49" s="7" t="e">
        <f>VLOOKUP(Table1[[#This Row],[Ship ID]],Data!E:AB,24,0)</f>
        <v>#N/A</v>
      </c>
    </row>
    <row r="50" spans="1:9" x14ac:dyDescent="0.25">
      <c r="A50" s="1">
        <f>+Data!E50</f>
        <v>0</v>
      </c>
      <c r="B50" t="e">
        <f>VLOOKUP(A50,Data!E:G,3,0)</f>
        <v>#N/A</v>
      </c>
      <c r="C50" t="e">
        <f>VLOOKUP(A50,Data!E:N,10,0)</f>
        <v>#N/A</v>
      </c>
      <c r="D50" s="3" t="e">
        <f>VLOOKUP(A50,Data!E:R,14,0)</f>
        <v>#N/A</v>
      </c>
      <c r="E50" t="e">
        <f t="shared" si="0"/>
        <v>#N/A</v>
      </c>
      <c r="F50" t="e">
        <f>+VLOOKUP(A50,Data!E:O,11,0)</f>
        <v>#N/A</v>
      </c>
      <c r="G50" t="e">
        <f>VLOOKUP(Table1[[#This Row],[Ship ID]],Data!E:H,4,0)</f>
        <v>#N/A</v>
      </c>
      <c r="H50" t="e">
        <f>+VLOOKUP(Table1[[#This Row],[Ship ID]],Data!E:J,6,0)</f>
        <v>#N/A</v>
      </c>
      <c r="I50" s="7" t="e">
        <f>VLOOKUP(Table1[[#This Row],[Ship ID]],Data!E:AB,24,0)</f>
        <v>#N/A</v>
      </c>
    </row>
    <row r="51" spans="1:9" x14ac:dyDescent="0.25">
      <c r="A51" s="1">
        <f>+Data!E51</f>
        <v>0</v>
      </c>
      <c r="B51" t="e">
        <f>VLOOKUP(A51,Data!E:G,3,0)</f>
        <v>#N/A</v>
      </c>
      <c r="C51" t="e">
        <f>VLOOKUP(A51,Data!E:N,10,0)</f>
        <v>#N/A</v>
      </c>
      <c r="D51" s="3" t="e">
        <f>VLOOKUP(A51,Data!E:R,14,0)</f>
        <v>#N/A</v>
      </c>
      <c r="E51" t="e">
        <f t="shared" si="0"/>
        <v>#N/A</v>
      </c>
      <c r="F51" t="e">
        <f>+VLOOKUP(A51,Data!E:O,11,0)</f>
        <v>#N/A</v>
      </c>
      <c r="G51" t="e">
        <f>VLOOKUP(Table1[[#This Row],[Ship ID]],Data!E:H,4,0)</f>
        <v>#N/A</v>
      </c>
      <c r="H51" t="e">
        <f>+VLOOKUP(Table1[[#This Row],[Ship ID]],Data!E:J,6,0)</f>
        <v>#N/A</v>
      </c>
      <c r="I51" s="7" t="e">
        <f>VLOOKUP(Table1[[#This Row],[Ship ID]],Data!E:AB,24,0)</f>
        <v>#N/A</v>
      </c>
    </row>
    <row r="52" spans="1:9" x14ac:dyDescent="0.25">
      <c r="A52" s="1">
        <f>+Data!E52</f>
        <v>0</v>
      </c>
      <c r="B52" t="e">
        <f>VLOOKUP(A52,Data!E:G,3,0)</f>
        <v>#N/A</v>
      </c>
      <c r="C52" t="e">
        <f>VLOOKUP(A52,Data!E:N,10,0)</f>
        <v>#N/A</v>
      </c>
      <c r="D52" s="3" t="e">
        <f>VLOOKUP(A52,Data!E:R,14,0)</f>
        <v>#N/A</v>
      </c>
      <c r="E52" t="e">
        <f t="shared" si="0"/>
        <v>#N/A</v>
      </c>
      <c r="F52" t="e">
        <f>+VLOOKUP(A52,Data!E:O,11,0)</f>
        <v>#N/A</v>
      </c>
      <c r="G52" t="e">
        <f>VLOOKUP(Table1[[#This Row],[Ship ID]],Data!E:H,4,0)</f>
        <v>#N/A</v>
      </c>
      <c r="H52" t="e">
        <f>+VLOOKUP(Table1[[#This Row],[Ship ID]],Data!E:J,6,0)</f>
        <v>#N/A</v>
      </c>
      <c r="I52" s="7" t="e">
        <f>VLOOKUP(Table1[[#This Row],[Ship ID]],Data!E:AB,24,0)</f>
        <v>#N/A</v>
      </c>
    </row>
    <row r="53" spans="1:9" x14ac:dyDescent="0.25">
      <c r="A53" s="1">
        <f>+Data!E53</f>
        <v>0</v>
      </c>
      <c r="B53" t="e">
        <f>VLOOKUP(A53,Data!E:G,3,0)</f>
        <v>#N/A</v>
      </c>
      <c r="C53" t="e">
        <f>VLOOKUP(A53,Data!E:N,10,0)</f>
        <v>#N/A</v>
      </c>
      <c r="D53" s="3" t="e">
        <f>VLOOKUP(A53,Data!E:R,14,0)</f>
        <v>#N/A</v>
      </c>
      <c r="E53" t="e">
        <f t="shared" si="0"/>
        <v>#N/A</v>
      </c>
      <c r="F53" t="e">
        <f>+VLOOKUP(A53,Data!E:O,11,0)</f>
        <v>#N/A</v>
      </c>
      <c r="G53" t="e">
        <f>VLOOKUP(Table1[[#This Row],[Ship ID]],Data!E:H,4,0)</f>
        <v>#N/A</v>
      </c>
      <c r="H53" t="e">
        <f>+VLOOKUP(Table1[[#This Row],[Ship ID]],Data!E:J,6,0)</f>
        <v>#N/A</v>
      </c>
      <c r="I53" s="7" t="e">
        <f>VLOOKUP(Table1[[#This Row],[Ship ID]],Data!E:AB,24,0)</f>
        <v>#N/A</v>
      </c>
    </row>
    <row r="54" spans="1:9" x14ac:dyDescent="0.25">
      <c r="A54" s="1">
        <f>+Data!E54</f>
        <v>0</v>
      </c>
      <c r="B54" t="e">
        <f>VLOOKUP(A54,Data!E:G,3,0)</f>
        <v>#N/A</v>
      </c>
      <c r="C54" t="e">
        <f>VLOOKUP(A54,Data!E:N,10,0)</f>
        <v>#N/A</v>
      </c>
      <c r="D54" s="3" t="e">
        <f>VLOOKUP(A54,Data!E:R,14,0)</f>
        <v>#N/A</v>
      </c>
      <c r="E54" t="e">
        <f t="shared" si="0"/>
        <v>#N/A</v>
      </c>
      <c r="F54" t="e">
        <f>+VLOOKUP(A54,Data!E:O,11,0)</f>
        <v>#N/A</v>
      </c>
      <c r="G54" t="e">
        <f>VLOOKUP(Table1[[#This Row],[Ship ID]],Data!E:H,4,0)</f>
        <v>#N/A</v>
      </c>
      <c r="H54" t="e">
        <f>+VLOOKUP(Table1[[#This Row],[Ship ID]],Data!E:J,6,0)</f>
        <v>#N/A</v>
      </c>
      <c r="I54" s="7" t="e">
        <f>VLOOKUP(Table1[[#This Row],[Ship ID]],Data!E:AB,24,0)</f>
        <v>#N/A</v>
      </c>
    </row>
    <row r="55" spans="1:9" x14ac:dyDescent="0.25">
      <c r="A55" s="1">
        <f>+Data!E55</f>
        <v>0</v>
      </c>
      <c r="B55" t="e">
        <f>VLOOKUP(A55,Data!E:G,3,0)</f>
        <v>#N/A</v>
      </c>
      <c r="C55" t="e">
        <f>VLOOKUP(A55,Data!E:N,10,0)</f>
        <v>#N/A</v>
      </c>
      <c r="D55" s="3" t="e">
        <f>VLOOKUP(A55,Data!E:R,14,0)</f>
        <v>#N/A</v>
      </c>
      <c r="E55" t="e">
        <f t="shared" si="0"/>
        <v>#N/A</v>
      </c>
      <c r="F55" t="e">
        <f>+VLOOKUP(A55,Data!E:O,11,0)</f>
        <v>#N/A</v>
      </c>
      <c r="G55" t="e">
        <f>VLOOKUP(Table1[[#This Row],[Ship ID]],Data!E:H,4,0)</f>
        <v>#N/A</v>
      </c>
      <c r="H55" t="e">
        <f>+VLOOKUP(Table1[[#This Row],[Ship ID]],Data!E:J,6,0)</f>
        <v>#N/A</v>
      </c>
      <c r="I55" s="7" t="e">
        <f>VLOOKUP(Table1[[#This Row],[Ship ID]],Data!E:AB,24,0)</f>
        <v>#N/A</v>
      </c>
    </row>
    <row r="56" spans="1:9" x14ac:dyDescent="0.25">
      <c r="A56" s="1">
        <f>+Data!E56</f>
        <v>0</v>
      </c>
      <c r="B56" t="e">
        <f>VLOOKUP(A56,Data!E:G,3,0)</f>
        <v>#N/A</v>
      </c>
      <c r="C56" t="e">
        <f>VLOOKUP(A56,Data!E:N,10,0)</f>
        <v>#N/A</v>
      </c>
      <c r="D56" s="3" t="e">
        <f>VLOOKUP(A56,Data!E:R,14,0)</f>
        <v>#N/A</v>
      </c>
      <c r="E56" t="e">
        <f t="shared" si="0"/>
        <v>#N/A</v>
      </c>
      <c r="F56" t="e">
        <f>+VLOOKUP(A56,Data!E:O,11,0)</f>
        <v>#N/A</v>
      </c>
      <c r="G56" t="e">
        <f>VLOOKUP(Table1[[#This Row],[Ship ID]],Data!E:H,4,0)</f>
        <v>#N/A</v>
      </c>
      <c r="H56" t="e">
        <f>+VLOOKUP(Table1[[#This Row],[Ship ID]],Data!E:J,6,0)</f>
        <v>#N/A</v>
      </c>
      <c r="I56" s="7" t="e">
        <f>VLOOKUP(Table1[[#This Row],[Ship ID]],Data!E:AB,24,0)</f>
        <v>#N/A</v>
      </c>
    </row>
    <row r="57" spans="1:9" x14ac:dyDescent="0.25">
      <c r="A57" s="1">
        <f>+Data!E57</f>
        <v>0</v>
      </c>
      <c r="B57" t="e">
        <f>VLOOKUP(A57,Data!E:G,3,0)</f>
        <v>#N/A</v>
      </c>
      <c r="C57" t="e">
        <f>VLOOKUP(A57,Data!E:N,10,0)</f>
        <v>#N/A</v>
      </c>
      <c r="D57" s="3" t="e">
        <f>VLOOKUP(A57,Data!E:R,14,0)</f>
        <v>#N/A</v>
      </c>
      <c r="E57" t="e">
        <f t="shared" si="0"/>
        <v>#N/A</v>
      </c>
      <c r="F57" t="e">
        <f>+VLOOKUP(A57,Data!E:O,11,0)</f>
        <v>#N/A</v>
      </c>
      <c r="G57" t="e">
        <f>VLOOKUP(Table1[[#This Row],[Ship ID]],Data!E:H,4,0)</f>
        <v>#N/A</v>
      </c>
      <c r="H57" t="e">
        <f>+VLOOKUP(Table1[[#This Row],[Ship ID]],Data!E:J,6,0)</f>
        <v>#N/A</v>
      </c>
      <c r="I57" s="7" t="e">
        <f>VLOOKUP(Table1[[#This Row],[Ship ID]],Data!E:AB,24,0)</f>
        <v>#N/A</v>
      </c>
    </row>
    <row r="58" spans="1:9" x14ac:dyDescent="0.25">
      <c r="A58" s="1">
        <f>+Data!E58</f>
        <v>0</v>
      </c>
      <c r="B58" t="e">
        <f>VLOOKUP(A58,Data!E:G,3,0)</f>
        <v>#N/A</v>
      </c>
      <c r="C58" t="e">
        <f>VLOOKUP(A58,Data!E:N,10,0)</f>
        <v>#N/A</v>
      </c>
      <c r="D58" s="3" t="e">
        <f>VLOOKUP(A58,Data!E:R,14,0)</f>
        <v>#N/A</v>
      </c>
      <c r="E58" t="e">
        <f t="shared" si="0"/>
        <v>#N/A</v>
      </c>
      <c r="F58" t="e">
        <f>+VLOOKUP(A58,Data!E:O,11,0)</f>
        <v>#N/A</v>
      </c>
      <c r="G58" t="e">
        <f>VLOOKUP(Table1[[#This Row],[Ship ID]],Data!E:H,4,0)</f>
        <v>#N/A</v>
      </c>
      <c r="H58" t="e">
        <f>+VLOOKUP(Table1[[#This Row],[Ship ID]],Data!E:J,6,0)</f>
        <v>#N/A</v>
      </c>
      <c r="I58" s="7" t="e">
        <f>VLOOKUP(Table1[[#This Row],[Ship ID]],Data!E:AB,24,0)</f>
        <v>#N/A</v>
      </c>
    </row>
    <row r="59" spans="1:9" x14ac:dyDescent="0.25">
      <c r="A59" s="1">
        <f>+Data!E59</f>
        <v>0</v>
      </c>
      <c r="B59" t="e">
        <f>VLOOKUP(A59,Data!E:G,3,0)</f>
        <v>#N/A</v>
      </c>
      <c r="C59" t="e">
        <f>VLOOKUP(A59,Data!E:N,10,0)</f>
        <v>#N/A</v>
      </c>
      <c r="D59" s="3" t="e">
        <f>VLOOKUP(A59,Data!E:R,14,0)</f>
        <v>#N/A</v>
      </c>
      <c r="E59" t="e">
        <f t="shared" si="0"/>
        <v>#N/A</v>
      </c>
      <c r="F59" t="e">
        <f>+VLOOKUP(A59,Data!E:O,11,0)</f>
        <v>#N/A</v>
      </c>
      <c r="G59" t="e">
        <f>VLOOKUP(Table1[[#This Row],[Ship ID]],Data!E:H,4,0)</f>
        <v>#N/A</v>
      </c>
      <c r="H59" t="e">
        <f>+VLOOKUP(Table1[[#This Row],[Ship ID]],Data!E:J,6,0)</f>
        <v>#N/A</v>
      </c>
      <c r="I59" s="7" t="e">
        <f>VLOOKUP(Table1[[#This Row],[Ship ID]],Data!E:AB,24,0)</f>
        <v>#N/A</v>
      </c>
    </row>
    <row r="60" spans="1:9" x14ac:dyDescent="0.25">
      <c r="A60" s="1">
        <f>+Data!E60</f>
        <v>0</v>
      </c>
      <c r="B60" t="e">
        <f>VLOOKUP(A60,Data!E:G,3,0)</f>
        <v>#N/A</v>
      </c>
      <c r="C60" t="e">
        <f>VLOOKUP(A60,Data!E:N,10,0)</f>
        <v>#N/A</v>
      </c>
      <c r="D60" s="3" t="e">
        <f>VLOOKUP(A60,Data!E:R,14,0)</f>
        <v>#N/A</v>
      </c>
      <c r="E60" t="e">
        <f t="shared" si="0"/>
        <v>#N/A</v>
      </c>
      <c r="F60" t="e">
        <f>+VLOOKUP(A60,Data!E:O,11,0)</f>
        <v>#N/A</v>
      </c>
      <c r="G60" t="e">
        <f>VLOOKUP(Table1[[#This Row],[Ship ID]],Data!E:H,4,0)</f>
        <v>#N/A</v>
      </c>
      <c r="H60" t="e">
        <f>+VLOOKUP(Table1[[#This Row],[Ship ID]],Data!E:J,6,0)</f>
        <v>#N/A</v>
      </c>
      <c r="I60" s="7" t="e">
        <f>VLOOKUP(Table1[[#This Row],[Ship ID]],Data!E:AB,24,0)</f>
        <v>#N/A</v>
      </c>
    </row>
    <row r="61" spans="1:9" x14ac:dyDescent="0.25">
      <c r="A61" s="1">
        <f>+Data!E61</f>
        <v>0</v>
      </c>
      <c r="B61" t="e">
        <f>VLOOKUP(A61,Data!E:G,3,0)</f>
        <v>#N/A</v>
      </c>
      <c r="C61" t="e">
        <f>VLOOKUP(A61,Data!E:N,10,0)</f>
        <v>#N/A</v>
      </c>
      <c r="D61" s="3" t="e">
        <f>VLOOKUP(A61,Data!E:R,14,0)</f>
        <v>#N/A</v>
      </c>
      <c r="E61" t="e">
        <f t="shared" si="0"/>
        <v>#N/A</v>
      </c>
      <c r="F61" t="e">
        <f>+VLOOKUP(A61,Data!E:O,11,0)</f>
        <v>#N/A</v>
      </c>
      <c r="G61" t="e">
        <f>VLOOKUP(Table1[[#This Row],[Ship ID]],Data!E:H,4,0)</f>
        <v>#N/A</v>
      </c>
      <c r="H61" t="e">
        <f>+VLOOKUP(Table1[[#This Row],[Ship ID]],Data!E:J,6,0)</f>
        <v>#N/A</v>
      </c>
      <c r="I61" s="7" t="e">
        <f>VLOOKUP(Table1[[#This Row],[Ship ID]],Data!E:AB,24,0)</f>
        <v>#N/A</v>
      </c>
    </row>
    <row r="62" spans="1:9" x14ac:dyDescent="0.25">
      <c r="A62" s="1">
        <f>+Data!E62</f>
        <v>0</v>
      </c>
      <c r="B62" t="e">
        <f>VLOOKUP(A62,Data!E:G,3,0)</f>
        <v>#N/A</v>
      </c>
      <c r="C62" t="e">
        <f>VLOOKUP(A62,Data!E:N,10,0)</f>
        <v>#N/A</v>
      </c>
      <c r="D62" s="3" t="e">
        <f>VLOOKUP(A62,Data!E:R,14,0)</f>
        <v>#N/A</v>
      </c>
      <c r="E62" t="e">
        <f t="shared" si="0"/>
        <v>#N/A</v>
      </c>
      <c r="F62" t="e">
        <f>+VLOOKUP(A62,Data!E:O,11,0)</f>
        <v>#N/A</v>
      </c>
      <c r="G62" t="e">
        <f>VLOOKUP(Table1[[#This Row],[Ship ID]],Data!E:H,4,0)</f>
        <v>#N/A</v>
      </c>
      <c r="H62" t="e">
        <f>+VLOOKUP(Table1[[#This Row],[Ship ID]],Data!E:J,6,0)</f>
        <v>#N/A</v>
      </c>
      <c r="I62" s="7" t="e">
        <f>VLOOKUP(Table1[[#This Row],[Ship ID]],Data!E:AB,24,0)</f>
        <v>#N/A</v>
      </c>
    </row>
    <row r="63" spans="1:9" x14ac:dyDescent="0.25">
      <c r="A63" s="1">
        <f>+Data!E63</f>
        <v>0</v>
      </c>
      <c r="B63" t="e">
        <f>VLOOKUP(A63,Data!E:G,3,0)</f>
        <v>#N/A</v>
      </c>
      <c r="C63" t="e">
        <f>VLOOKUP(A63,Data!E:N,10,0)</f>
        <v>#N/A</v>
      </c>
      <c r="D63" s="3" t="e">
        <f>VLOOKUP(A63,Data!E:R,14,0)</f>
        <v>#N/A</v>
      </c>
      <c r="E63" t="e">
        <f t="shared" si="0"/>
        <v>#N/A</v>
      </c>
      <c r="F63" t="e">
        <f>+VLOOKUP(A63,Data!E:O,11,0)</f>
        <v>#N/A</v>
      </c>
      <c r="G63" t="e">
        <f>VLOOKUP(Table1[[#This Row],[Ship ID]],Data!E:H,4,0)</f>
        <v>#N/A</v>
      </c>
      <c r="H63" t="e">
        <f>+VLOOKUP(Table1[[#This Row],[Ship ID]],Data!E:J,6,0)</f>
        <v>#N/A</v>
      </c>
      <c r="I63" s="7" t="e">
        <f>VLOOKUP(Table1[[#This Row],[Ship ID]],Data!E:AB,24,0)</f>
        <v>#N/A</v>
      </c>
    </row>
    <row r="64" spans="1:9" x14ac:dyDescent="0.25">
      <c r="A64" s="1">
        <f>+Data!E64</f>
        <v>0</v>
      </c>
      <c r="B64" t="e">
        <f>VLOOKUP(A64,Data!E:G,3,0)</f>
        <v>#N/A</v>
      </c>
      <c r="C64" t="e">
        <f>VLOOKUP(A64,Data!E:N,10,0)</f>
        <v>#N/A</v>
      </c>
      <c r="D64" s="3" t="e">
        <f>VLOOKUP(A64,Data!E:R,14,0)</f>
        <v>#N/A</v>
      </c>
      <c r="E64" t="e">
        <f t="shared" si="0"/>
        <v>#N/A</v>
      </c>
      <c r="F64" t="e">
        <f>+VLOOKUP(A64,Data!E:O,11,0)</f>
        <v>#N/A</v>
      </c>
      <c r="G64" t="e">
        <f>VLOOKUP(Table1[[#This Row],[Ship ID]],Data!E:H,4,0)</f>
        <v>#N/A</v>
      </c>
      <c r="H64" t="e">
        <f>+VLOOKUP(Table1[[#This Row],[Ship ID]],Data!E:J,6,0)</f>
        <v>#N/A</v>
      </c>
      <c r="I64" s="7" t="e">
        <f>VLOOKUP(Table1[[#This Row],[Ship ID]],Data!E:AB,24,0)</f>
        <v>#N/A</v>
      </c>
    </row>
    <row r="65" spans="1:9" x14ac:dyDescent="0.25">
      <c r="A65" s="1">
        <f>+Data!E65</f>
        <v>0</v>
      </c>
      <c r="B65" t="e">
        <f>VLOOKUP(A65,Data!E:G,3,0)</f>
        <v>#N/A</v>
      </c>
      <c r="C65" t="e">
        <f>VLOOKUP(A65,Data!E:N,10,0)</f>
        <v>#N/A</v>
      </c>
      <c r="D65" s="3" t="e">
        <f>VLOOKUP(A65,Data!E:R,14,0)</f>
        <v>#N/A</v>
      </c>
      <c r="E65" t="e">
        <f t="shared" si="0"/>
        <v>#N/A</v>
      </c>
      <c r="F65" t="e">
        <f>+VLOOKUP(A65,Data!E:O,11,0)</f>
        <v>#N/A</v>
      </c>
      <c r="G65" t="e">
        <f>VLOOKUP(Table1[[#This Row],[Ship ID]],Data!E:H,4,0)</f>
        <v>#N/A</v>
      </c>
      <c r="H65" t="e">
        <f>+VLOOKUP(Table1[[#This Row],[Ship ID]],Data!E:J,6,0)</f>
        <v>#N/A</v>
      </c>
      <c r="I65" s="7" t="e">
        <f>VLOOKUP(Table1[[#This Row],[Ship ID]],Data!E:AB,24,0)</f>
        <v>#N/A</v>
      </c>
    </row>
    <row r="66" spans="1:9" x14ac:dyDescent="0.25">
      <c r="A66" s="1">
        <f>+Data!E66</f>
        <v>0</v>
      </c>
      <c r="B66" t="e">
        <f>VLOOKUP(A66,Data!E:G,3,0)</f>
        <v>#N/A</v>
      </c>
      <c r="C66" t="e">
        <f>VLOOKUP(A66,Data!E:N,10,0)</f>
        <v>#N/A</v>
      </c>
      <c r="D66" s="3" t="e">
        <f>VLOOKUP(A66,Data!E:R,14,0)</f>
        <v>#N/A</v>
      </c>
      <c r="E66" t="e">
        <f t="shared" si="0"/>
        <v>#N/A</v>
      </c>
      <c r="F66" t="e">
        <f>+VLOOKUP(A66,Data!E:O,11,0)</f>
        <v>#N/A</v>
      </c>
      <c r="G66" t="e">
        <f>VLOOKUP(Table1[[#This Row],[Ship ID]],Data!E:H,4,0)</f>
        <v>#N/A</v>
      </c>
      <c r="H66" t="e">
        <f>+VLOOKUP(Table1[[#This Row],[Ship ID]],Data!E:J,6,0)</f>
        <v>#N/A</v>
      </c>
      <c r="I66" s="7" t="e">
        <f>VLOOKUP(Table1[[#This Row],[Ship ID]],Data!E:AB,24,0)</f>
        <v>#N/A</v>
      </c>
    </row>
    <row r="67" spans="1:9" x14ac:dyDescent="0.25">
      <c r="A67" s="1">
        <f>+Data!E67</f>
        <v>0</v>
      </c>
      <c r="B67" t="e">
        <f>VLOOKUP(A67,Data!E:G,3,0)</f>
        <v>#N/A</v>
      </c>
      <c r="C67" t="e">
        <f>VLOOKUP(A67,Data!E:N,10,0)</f>
        <v>#N/A</v>
      </c>
      <c r="D67" s="3" t="e">
        <f>VLOOKUP(A67,Data!E:R,14,0)</f>
        <v>#N/A</v>
      </c>
      <c r="E67" t="e">
        <f t="shared" ref="E67:E130" si="1">IF(D67&lt;0.54,"Matin","Après-midi")</f>
        <v>#N/A</v>
      </c>
      <c r="F67" t="e">
        <f>+VLOOKUP(A67,Data!E:O,11,0)</f>
        <v>#N/A</v>
      </c>
      <c r="G67" t="e">
        <f>VLOOKUP(Table1[[#This Row],[Ship ID]],Data!E:H,4,0)</f>
        <v>#N/A</v>
      </c>
      <c r="H67" t="e">
        <f>+VLOOKUP(Table1[[#This Row],[Ship ID]],Data!E:J,6,0)</f>
        <v>#N/A</v>
      </c>
      <c r="I67" s="7" t="e">
        <f>VLOOKUP(Table1[[#This Row],[Ship ID]],Data!E:AB,24,0)</f>
        <v>#N/A</v>
      </c>
    </row>
    <row r="68" spans="1:9" x14ac:dyDescent="0.25">
      <c r="A68" s="1">
        <f>+Data!E68</f>
        <v>0</v>
      </c>
      <c r="B68" t="e">
        <f>VLOOKUP(A68,Data!E:G,3,0)</f>
        <v>#N/A</v>
      </c>
      <c r="C68" t="e">
        <f>VLOOKUP(A68,Data!E:N,10,0)</f>
        <v>#N/A</v>
      </c>
      <c r="D68" s="3" t="e">
        <f>VLOOKUP(A68,Data!E:R,14,0)</f>
        <v>#N/A</v>
      </c>
      <c r="E68" t="e">
        <f t="shared" si="1"/>
        <v>#N/A</v>
      </c>
      <c r="F68" t="e">
        <f>+VLOOKUP(A68,Data!E:O,11,0)</f>
        <v>#N/A</v>
      </c>
      <c r="G68" t="e">
        <f>VLOOKUP(Table1[[#This Row],[Ship ID]],Data!E:H,4,0)</f>
        <v>#N/A</v>
      </c>
      <c r="H68" t="e">
        <f>+VLOOKUP(Table1[[#This Row],[Ship ID]],Data!E:J,6,0)</f>
        <v>#N/A</v>
      </c>
      <c r="I68" s="7" t="e">
        <f>VLOOKUP(Table1[[#This Row],[Ship ID]],Data!E:AB,24,0)</f>
        <v>#N/A</v>
      </c>
    </row>
    <row r="69" spans="1:9" x14ac:dyDescent="0.25">
      <c r="A69" s="1">
        <f>+Data!E69</f>
        <v>0</v>
      </c>
      <c r="B69" t="e">
        <f>VLOOKUP(A69,Data!E:G,3,0)</f>
        <v>#N/A</v>
      </c>
      <c r="C69" t="e">
        <f>VLOOKUP(A69,Data!E:N,10,0)</f>
        <v>#N/A</v>
      </c>
      <c r="D69" s="3" t="e">
        <f>VLOOKUP(A69,Data!E:R,14,0)</f>
        <v>#N/A</v>
      </c>
      <c r="E69" t="e">
        <f t="shared" si="1"/>
        <v>#N/A</v>
      </c>
      <c r="F69" t="e">
        <f>+VLOOKUP(A69,Data!E:O,11,0)</f>
        <v>#N/A</v>
      </c>
      <c r="G69" t="e">
        <f>VLOOKUP(Table1[[#This Row],[Ship ID]],Data!E:H,4,0)</f>
        <v>#N/A</v>
      </c>
      <c r="H69" t="e">
        <f>+VLOOKUP(Table1[[#This Row],[Ship ID]],Data!E:J,6,0)</f>
        <v>#N/A</v>
      </c>
      <c r="I69" s="7" t="e">
        <f>VLOOKUP(Table1[[#This Row],[Ship ID]],Data!E:AB,24,0)</f>
        <v>#N/A</v>
      </c>
    </row>
    <row r="70" spans="1:9" x14ac:dyDescent="0.25">
      <c r="A70" s="1">
        <f>+Data!E70</f>
        <v>0</v>
      </c>
      <c r="B70" t="e">
        <f>VLOOKUP(A70,Data!E:G,3,0)</f>
        <v>#N/A</v>
      </c>
      <c r="C70" t="e">
        <f>VLOOKUP(A70,Data!E:N,10,0)</f>
        <v>#N/A</v>
      </c>
      <c r="D70" s="3" t="e">
        <f>VLOOKUP(A70,Data!E:R,14,0)</f>
        <v>#N/A</v>
      </c>
      <c r="E70" t="e">
        <f t="shared" si="1"/>
        <v>#N/A</v>
      </c>
      <c r="F70" t="e">
        <f>+VLOOKUP(A70,Data!E:O,11,0)</f>
        <v>#N/A</v>
      </c>
      <c r="G70" t="e">
        <f>VLOOKUP(Table1[[#This Row],[Ship ID]],Data!E:H,4,0)</f>
        <v>#N/A</v>
      </c>
      <c r="H70" t="e">
        <f>+VLOOKUP(Table1[[#This Row],[Ship ID]],Data!E:J,6,0)</f>
        <v>#N/A</v>
      </c>
      <c r="I70" s="7" t="e">
        <f>VLOOKUP(Table1[[#This Row],[Ship ID]],Data!E:AB,24,0)</f>
        <v>#N/A</v>
      </c>
    </row>
    <row r="71" spans="1:9" x14ac:dyDescent="0.25">
      <c r="A71" s="1">
        <f>+Data!E71</f>
        <v>0</v>
      </c>
      <c r="B71" t="e">
        <f>VLOOKUP(A71,Data!E:G,3,0)</f>
        <v>#N/A</v>
      </c>
      <c r="C71" t="e">
        <f>VLOOKUP(A71,Data!E:N,10,0)</f>
        <v>#N/A</v>
      </c>
      <c r="D71" s="3" t="e">
        <f>VLOOKUP(A71,Data!E:R,14,0)</f>
        <v>#N/A</v>
      </c>
      <c r="E71" t="e">
        <f t="shared" si="1"/>
        <v>#N/A</v>
      </c>
      <c r="F71" t="e">
        <f>+VLOOKUP(A71,Data!E:O,11,0)</f>
        <v>#N/A</v>
      </c>
      <c r="G71" t="e">
        <f>VLOOKUP(Table1[[#This Row],[Ship ID]],Data!E:H,4,0)</f>
        <v>#N/A</v>
      </c>
      <c r="H71" t="e">
        <f>+VLOOKUP(Table1[[#This Row],[Ship ID]],Data!E:J,6,0)</f>
        <v>#N/A</v>
      </c>
      <c r="I71" s="7" t="e">
        <f>VLOOKUP(Table1[[#This Row],[Ship ID]],Data!E:AB,24,0)</f>
        <v>#N/A</v>
      </c>
    </row>
    <row r="72" spans="1:9" x14ac:dyDescent="0.25">
      <c r="A72" s="1">
        <f>+Data!E72</f>
        <v>0</v>
      </c>
      <c r="B72" t="e">
        <f>VLOOKUP(A72,Data!E:G,3,0)</f>
        <v>#N/A</v>
      </c>
      <c r="C72" t="e">
        <f>VLOOKUP(A72,Data!E:N,10,0)</f>
        <v>#N/A</v>
      </c>
      <c r="D72" s="3" t="e">
        <f>VLOOKUP(A72,Data!E:R,14,0)</f>
        <v>#N/A</v>
      </c>
      <c r="E72" t="e">
        <f t="shared" si="1"/>
        <v>#N/A</v>
      </c>
      <c r="F72" t="e">
        <f>+VLOOKUP(A72,Data!E:O,11,0)</f>
        <v>#N/A</v>
      </c>
      <c r="G72" t="e">
        <f>VLOOKUP(Table1[[#This Row],[Ship ID]],Data!E:H,4,0)</f>
        <v>#N/A</v>
      </c>
      <c r="H72" t="e">
        <f>+VLOOKUP(Table1[[#This Row],[Ship ID]],Data!E:J,6,0)</f>
        <v>#N/A</v>
      </c>
      <c r="I72" s="7" t="e">
        <f>VLOOKUP(Table1[[#This Row],[Ship ID]],Data!E:AB,24,0)</f>
        <v>#N/A</v>
      </c>
    </row>
    <row r="73" spans="1:9" x14ac:dyDescent="0.25">
      <c r="A73" s="1">
        <f>+Data!E73</f>
        <v>0</v>
      </c>
      <c r="B73" t="e">
        <f>VLOOKUP(A73,Data!E:G,3,0)</f>
        <v>#N/A</v>
      </c>
      <c r="C73" t="e">
        <f>VLOOKUP(A73,Data!E:N,10,0)</f>
        <v>#N/A</v>
      </c>
      <c r="D73" s="3" t="e">
        <f>VLOOKUP(A73,Data!E:R,14,0)</f>
        <v>#N/A</v>
      </c>
      <c r="E73" t="e">
        <f t="shared" si="1"/>
        <v>#N/A</v>
      </c>
      <c r="F73" t="e">
        <f>+VLOOKUP(A73,Data!E:O,11,0)</f>
        <v>#N/A</v>
      </c>
      <c r="G73" t="e">
        <f>VLOOKUP(Table1[[#This Row],[Ship ID]],Data!E:H,4,0)</f>
        <v>#N/A</v>
      </c>
      <c r="H73" t="e">
        <f>+VLOOKUP(Table1[[#This Row],[Ship ID]],Data!E:J,6,0)</f>
        <v>#N/A</v>
      </c>
      <c r="I73" s="7" t="e">
        <f>VLOOKUP(Table1[[#This Row],[Ship ID]],Data!E:AB,24,0)</f>
        <v>#N/A</v>
      </c>
    </row>
    <row r="74" spans="1:9" x14ac:dyDescent="0.25">
      <c r="A74" s="1">
        <f>+Data!E74</f>
        <v>0</v>
      </c>
      <c r="B74" t="e">
        <f>VLOOKUP(A74,Data!E:G,3,0)</f>
        <v>#N/A</v>
      </c>
      <c r="C74" t="e">
        <f>VLOOKUP(A74,Data!E:N,10,0)</f>
        <v>#N/A</v>
      </c>
      <c r="D74" s="3" t="e">
        <f>VLOOKUP(A74,Data!E:R,14,0)</f>
        <v>#N/A</v>
      </c>
      <c r="E74" t="e">
        <f t="shared" si="1"/>
        <v>#N/A</v>
      </c>
      <c r="F74" t="e">
        <f>+VLOOKUP(A74,Data!E:O,11,0)</f>
        <v>#N/A</v>
      </c>
      <c r="G74" t="e">
        <f>VLOOKUP(Table1[[#This Row],[Ship ID]],Data!E:H,4,0)</f>
        <v>#N/A</v>
      </c>
      <c r="H74" t="e">
        <f>+VLOOKUP(Table1[[#This Row],[Ship ID]],Data!E:J,6,0)</f>
        <v>#N/A</v>
      </c>
      <c r="I74" s="7" t="e">
        <f>VLOOKUP(Table1[[#This Row],[Ship ID]],Data!E:AB,24,0)</f>
        <v>#N/A</v>
      </c>
    </row>
    <row r="75" spans="1:9" x14ac:dyDescent="0.25">
      <c r="A75" s="1">
        <f>+Data!E75</f>
        <v>0</v>
      </c>
      <c r="B75" t="e">
        <f>VLOOKUP(A75,Data!E:G,3,0)</f>
        <v>#N/A</v>
      </c>
      <c r="C75" t="e">
        <f>VLOOKUP(A75,Data!E:N,10,0)</f>
        <v>#N/A</v>
      </c>
      <c r="D75" s="3" t="e">
        <f>VLOOKUP(A75,Data!E:R,14,0)</f>
        <v>#N/A</v>
      </c>
      <c r="E75" t="e">
        <f t="shared" si="1"/>
        <v>#N/A</v>
      </c>
      <c r="F75" t="e">
        <f>+VLOOKUP(A75,Data!E:O,11,0)</f>
        <v>#N/A</v>
      </c>
      <c r="G75" t="e">
        <f>VLOOKUP(Table1[[#This Row],[Ship ID]],Data!E:H,4,0)</f>
        <v>#N/A</v>
      </c>
      <c r="H75" t="e">
        <f>+VLOOKUP(Table1[[#This Row],[Ship ID]],Data!E:J,6,0)</f>
        <v>#N/A</v>
      </c>
      <c r="I75" s="7" t="e">
        <f>VLOOKUP(Table1[[#This Row],[Ship ID]],Data!E:AB,24,0)</f>
        <v>#N/A</v>
      </c>
    </row>
    <row r="76" spans="1:9" x14ac:dyDescent="0.25">
      <c r="A76" s="1">
        <f>+Data!E76</f>
        <v>0</v>
      </c>
      <c r="B76" t="e">
        <f>VLOOKUP(A76,Data!E:G,3,0)</f>
        <v>#N/A</v>
      </c>
      <c r="C76" t="e">
        <f>VLOOKUP(A76,Data!E:N,10,0)</f>
        <v>#N/A</v>
      </c>
      <c r="D76" s="3" t="e">
        <f>VLOOKUP(A76,Data!E:R,14,0)</f>
        <v>#N/A</v>
      </c>
      <c r="E76" t="e">
        <f t="shared" si="1"/>
        <v>#N/A</v>
      </c>
      <c r="F76" t="e">
        <f>+VLOOKUP(A76,Data!E:O,11,0)</f>
        <v>#N/A</v>
      </c>
      <c r="G76" t="e">
        <f>VLOOKUP(Table1[[#This Row],[Ship ID]],Data!E:H,4,0)</f>
        <v>#N/A</v>
      </c>
      <c r="H76" t="e">
        <f>+VLOOKUP(Table1[[#This Row],[Ship ID]],Data!E:J,6,0)</f>
        <v>#N/A</v>
      </c>
      <c r="I76" s="7" t="e">
        <f>VLOOKUP(Table1[[#This Row],[Ship ID]],Data!E:AB,24,0)</f>
        <v>#N/A</v>
      </c>
    </row>
    <row r="77" spans="1:9" x14ac:dyDescent="0.25">
      <c r="A77" s="1">
        <f>+Data!E77</f>
        <v>0</v>
      </c>
      <c r="B77" t="e">
        <f>VLOOKUP(A77,Data!E:G,3,0)</f>
        <v>#N/A</v>
      </c>
      <c r="C77" t="e">
        <f>VLOOKUP(A77,Data!E:N,10,0)</f>
        <v>#N/A</v>
      </c>
      <c r="D77" s="3" t="e">
        <f>VLOOKUP(A77,Data!E:R,14,0)</f>
        <v>#N/A</v>
      </c>
      <c r="E77" t="e">
        <f t="shared" si="1"/>
        <v>#N/A</v>
      </c>
      <c r="F77" t="e">
        <f>+VLOOKUP(A77,Data!E:O,11,0)</f>
        <v>#N/A</v>
      </c>
      <c r="G77" t="e">
        <f>VLOOKUP(Table1[[#This Row],[Ship ID]],Data!E:H,4,0)</f>
        <v>#N/A</v>
      </c>
      <c r="H77" t="e">
        <f>+VLOOKUP(Table1[[#This Row],[Ship ID]],Data!E:J,6,0)</f>
        <v>#N/A</v>
      </c>
      <c r="I77" s="7" t="e">
        <f>VLOOKUP(Table1[[#This Row],[Ship ID]],Data!E:AB,24,0)</f>
        <v>#N/A</v>
      </c>
    </row>
    <row r="78" spans="1:9" x14ac:dyDescent="0.25">
      <c r="A78" s="1">
        <f>+Data!E78</f>
        <v>0</v>
      </c>
      <c r="B78" t="e">
        <f>VLOOKUP(A78,Data!E:G,3,0)</f>
        <v>#N/A</v>
      </c>
      <c r="C78" t="e">
        <f>VLOOKUP(A78,Data!E:N,10,0)</f>
        <v>#N/A</v>
      </c>
      <c r="D78" s="3" t="e">
        <f>VLOOKUP(A78,Data!E:R,14,0)</f>
        <v>#N/A</v>
      </c>
      <c r="E78" t="e">
        <f t="shared" si="1"/>
        <v>#N/A</v>
      </c>
      <c r="F78" t="e">
        <f>+VLOOKUP(A78,Data!E:O,11,0)</f>
        <v>#N/A</v>
      </c>
      <c r="G78" t="e">
        <f>VLOOKUP(Table1[[#This Row],[Ship ID]],Data!E:H,4,0)</f>
        <v>#N/A</v>
      </c>
      <c r="H78" t="e">
        <f>+VLOOKUP(Table1[[#This Row],[Ship ID]],Data!E:J,6,0)</f>
        <v>#N/A</v>
      </c>
      <c r="I78" s="7" t="e">
        <f>VLOOKUP(Table1[[#This Row],[Ship ID]],Data!E:AB,24,0)</f>
        <v>#N/A</v>
      </c>
    </row>
    <row r="79" spans="1:9" x14ac:dyDescent="0.25">
      <c r="A79" s="1">
        <f>+Data!E79</f>
        <v>0</v>
      </c>
      <c r="B79" t="e">
        <f>VLOOKUP(A79,Data!E:G,3,0)</f>
        <v>#N/A</v>
      </c>
      <c r="C79" t="e">
        <f>VLOOKUP(A79,Data!E:N,10,0)</f>
        <v>#N/A</v>
      </c>
      <c r="D79" s="3" t="e">
        <f>VLOOKUP(A79,Data!E:R,14,0)</f>
        <v>#N/A</v>
      </c>
      <c r="E79" t="e">
        <f t="shared" si="1"/>
        <v>#N/A</v>
      </c>
      <c r="F79" t="e">
        <f>+VLOOKUP(A79,Data!E:O,11,0)</f>
        <v>#N/A</v>
      </c>
      <c r="G79" t="e">
        <f>VLOOKUP(Table1[[#This Row],[Ship ID]],Data!E:H,4,0)</f>
        <v>#N/A</v>
      </c>
      <c r="H79" t="e">
        <f>+VLOOKUP(Table1[[#This Row],[Ship ID]],Data!E:J,6,0)</f>
        <v>#N/A</v>
      </c>
      <c r="I79" s="7" t="e">
        <f>VLOOKUP(Table1[[#This Row],[Ship ID]],Data!E:AB,24,0)</f>
        <v>#N/A</v>
      </c>
    </row>
    <row r="80" spans="1:9" x14ac:dyDescent="0.25">
      <c r="A80" s="1">
        <f>+Data!E80</f>
        <v>0</v>
      </c>
      <c r="B80" t="e">
        <f>VLOOKUP(A80,Data!E:G,3,0)</f>
        <v>#N/A</v>
      </c>
      <c r="C80" t="e">
        <f>VLOOKUP(A80,Data!E:N,10,0)</f>
        <v>#N/A</v>
      </c>
      <c r="D80" s="3" t="e">
        <f>VLOOKUP(A80,Data!E:R,14,0)</f>
        <v>#N/A</v>
      </c>
      <c r="E80" t="e">
        <f t="shared" si="1"/>
        <v>#N/A</v>
      </c>
      <c r="F80" t="e">
        <f>+VLOOKUP(A80,Data!E:O,11,0)</f>
        <v>#N/A</v>
      </c>
      <c r="G80" t="e">
        <f>VLOOKUP(Table1[[#This Row],[Ship ID]],Data!E:H,4,0)</f>
        <v>#N/A</v>
      </c>
      <c r="H80" t="e">
        <f>+VLOOKUP(Table1[[#This Row],[Ship ID]],Data!E:J,6,0)</f>
        <v>#N/A</v>
      </c>
      <c r="I80" s="7" t="e">
        <f>VLOOKUP(Table1[[#This Row],[Ship ID]],Data!E:AB,24,0)</f>
        <v>#N/A</v>
      </c>
    </row>
    <row r="81" spans="1:9" x14ac:dyDescent="0.25">
      <c r="A81" s="1">
        <f>+Data!E81</f>
        <v>0</v>
      </c>
      <c r="B81" t="e">
        <f>VLOOKUP(A81,Data!E:G,3,0)</f>
        <v>#N/A</v>
      </c>
      <c r="C81" t="e">
        <f>VLOOKUP(A81,Data!E:N,10,0)</f>
        <v>#N/A</v>
      </c>
      <c r="D81" s="3" t="e">
        <f>VLOOKUP(A81,Data!E:R,14,0)</f>
        <v>#N/A</v>
      </c>
      <c r="E81" t="e">
        <f t="shared" si="1"/>
        <v>#N/A</v>
      </c>
      <c r="F81" t="e">
        <f>+VLOOKUP(A81,Data!E:O,11,0)</f>
        <v>#N/A</v>
      </c>
      <c r="G81" t="e">
        <f>VLOOKUP(Table1[[#This Row],[Ship ID]],Data!E:H,4,0)</f>
        <v>#N/A</v>
      </c>
      <c r="H81" t="e">
        <f>+VLOOKUP(Table1[[#This Row],[Ship ID]],Data!E:J,6,0)</f>
        <v>#N/A</v>
      </c>
      <c r="I81" s="7" t="e">
        <f>VLOOKUP(Table1[[#This Row],[Ship ID]],Data!E:AB,24,0)</f>
        <v>#N/A</v>
      </c>
    </row>
    <row r="82" spans="1:9" x14ac:dyDescent="0.25">
      <c r="A82" s="1">
        <f>+Data!E82</f>
        <v>0</v>
      </c>
      <c r="B82" t="e">
        <f>VLOOKUP(A82,Data!E:G,3,0)</f>
        <v>#N/A</v>
      </c>
      <c r="C82" t="e">
        <f>VLOOKUP(A82,Data!E:N,10,0)</f>
        <v>#N/A</v>
      </c>
      <c r="D82" s="3" t="e">
        <f>VLOOKUP(A82,Data!E:R,14,0)</f>
        <v>#N/A</v>
      </c>
      <c r="E82" t="e">
        <f t="shared" si="1"/>
        <v>#N/A</v>
      </c>
      <c r="F82" t="e">
        <f>+VLOOKUP(A82,Data!E:O,11,0)</f>
        <v>#N/A</v>
      </c>
      <c r="G82" t="e">
        <f>VLOOKUP(Table1[[#This Row],[Ship ID]],Data!E:H,4,0)</f>
        <v>#N/A</v>
      </c>
      <c r="H82" t="e">
        <f>+VLOOKUP(Table1[[#This Row],[Ship ID]],Data!E:J,6,0)</f>
        <v>#N/A</v>
      </c>
      <c r="I82" s="7" t="e">
        <f>VLOOKUP(Table1[[#This Row],[Ship ID]],Data!E:AB,24,0)</f>
        <v>#N/A</v>
      </c>
    </row>
    <row r="83" spans="1:9" x14ac:dyDescent="0.25">
      <c r="A83" s="1">
        <f>+Data!E83</f>
        <v>0</v>
      </c>
      <c r="B83" t="e">
        <f>VLOOKUP(A83,Data!E:G,3,0)</f>
        <v>#N/A</v>
      </c>
      <c r="C83" t="e">
        <f>VLOOKUP(A83,Data!E:N,10,0)</f>
        <v>#N/A</v>
      </c>
      <c r="D83" s="3" t="e">
        <f>VLOOKUP(A83,Data!E:R,14,0)</f>
        <v>#N/A</v>
      </c>
      <c r="E83" t="e">
        <f t="shared" si="1"/>
        <v>#N/A</v>
      </c>
      <c r="F83" t="e">
        <f>+VLOOKUP(A83,Data!E:O,11,0)</f>
        <v>#N/A</v>
      </c>
      <c r="G83" t="e">
        <f>VLOOKUP(Table1[[#This Row],[Ship ID]],Data!E:H,4,0)</f>
        <v>#N/A</v>
      </c>
      <c r="H83" t="e">
        <f>+VLOOKUP(Table1[[#This Row],[Ship ID]],Data!E:J,6,0)</f>
        <v>#N/A</v>
      </c>
      <c r="I83" s="7" t="e">
        <f>VLOOKUP(Table1[[#This Row],[Ship ID]],Data!E:AB,24,0)</f>
        <v>#N/A</v>
      </c>
    </row>
    <row r="84" spans="1:9" x14ac:dyDescent="0.25">
      <c r="A84" s="1">
        <f>+Data!E84</f>
        <v>0</v>
      </c>
      <c r="B84" t="e">
        <f>VLOOKUP(A84,Data!E:G,3,0)</f>
        <v>#N/A</v>
      </c>
      <c r="C84" t="e">
        <f>VLOOKUP(A84,Data!E:N,10,0)</f>
        <v>#N/A</v>
      </c>
      <c r="D84" s="3" t="e">
        <f>VLOOKUP(A84,Data!E:R,14,0)</f>
        <v>#N/A</v>
      </c>
      <c r="E84" t="e">
        <f t="shared" si="1"/>
        <v>#N/A</v>
      </c>
      <c r="F84" t="e">
        <f>+VLOOKUP(A84,Data!E:O,11,0)</f>
        <v>#N/A</v>
      </c>
      <c r="G84" t="e">
        <f>VLOOKUP(Table1[[#This Row],[Ship ID]],Data!E:H,4,0)</f>
        <v>#N/A</v>
      </c>
      <c r="H84" t="e">
        <f>+VLOOKUP(Table1[[#This Row],[Ship ID]],Data!E:J,6,0)</f>
        <v>#N/A</v>
      </c>
      <c r="I84" s="7" t="e">
        <f>VLOOKUP(Table1[[#This Row],[Ship ID]],Data!E:AB,24,0)</f>
        <v>#N/A</v>
      </c>
    </row>
    <row r="85" spans="1:9" x14ac:dyDescent="0.25">
      <c r="A85" s="1">
        <f>+Data!E85</f>
        <v>0</v>
      </c>
      <c r="B85" t="e">
        <f>VLOOKUP(A85,Data!E:G,3,0)</f>
        <v>#N/A</v>
      </c>
      <c r="C85" t="e">
        <f>VLOOKUP(A85,Data!E:N,10,0)</f>
        <v>#N/A</v>
      </c>
      <c r="D85" s="3" t="e">
        <f>VLOOKUP(A85,Data!E:R,14,0)</f>
        <v>#N/A</v>
      </c>
      <c r="E85" t="e">
        <f t="shared" si="1"/>
        <v>#N/A</v>
      </c>
      <c r="F85" t="e">
        <f>+VLOOKUP(A85,Data!E:O,11,0)</f>
        <v>#N/A</v>
      </c>
      <c r="G85" t="e">
        <f>VLOOKUP(Table1[[#This Row],[Ship ID]],Data!E:H,4,0)</f>
        <v>#N/A</v>
      </c>
      <c r="H85" t="e">
        <f>+VLOOKUP(Table1[[#This Row],[Ship ID]],Data!E:J,6,0)</f>
        <v>#N/A</v>
      </c>
      <c r="I85" s="7" t="e">
        <f>VLOOKUP(Table1[[#This Row],[Ship ID]],Data!E:AB,24,0)</f>
        <v>#N/A</v>
      </c>
    </row>
    <row r="86" spans="1:9" x14ac:dyDescent="0.25">
      <c r="A86" s="1">
        <f>+Data!E86</f>
        <v>0</v>
      </c>
      <c r="B86" t="e">
        <f>VLOOKUP(A86,Data!E:G,3,0)</f>
        <v>#N/A</v>
      </c>
      <c r="C86" t="e">
        <f>VLOOKUP(A86,Data!E:N,10,0)</f>
        <v>#N/A</v>
      </c>
      <c r="D86" s="3" t="e">
        <f>VLOOKUP(A86,Data!E:R,14,0)</f>
        <v>#N/A</v>
      </c>
      <c r="E86" t="e">
        <f t="shared" si="1"/>
        <v>#N/A</v>
      </c>
      <c r="F86" t="e">
        <f>+VLOOKUP(A86,Data!E:O,11,0)</f>
        <v>#N/A</v>
      </c>
      <c r="G86" t="e">
        <f>VLOOKUP(Table1[[#This Row],[Ship ID]],Data!E:H,4,0)</f>
        <v>#N/A</v>
      </c>
      <c r="H86" t="e">
        <f>+VLOOKUP(Table1[[#This Row],[Ship ID]],Data!E:J,6,0)</f>
        <v>#N/A</v>
      </c>
      <c r="I86" s="7" t="e">
        <f>VLOOKUP(Table1[[#This Row],[Ship ID]],Data!E:AB,24,0)</f>
        <v>#N/A</v>
      </c>
    </row>
    <row r="87" spans="1:9" x14ac:dyDescent="0.25">
      <c r="A87" s="1">
        <f>+Data!E87</f>
        <v>0</v>
      </c>
      <c r="B87" t="e">
        <f>VLOOKUP(A87,Data!E:G,3,0)</f>
        <v>#N/A</v>
      </c>
      <c r="C87" t="e">
        <f>VLOOKUP(A87,Data!E:N,10,0)</f>
        <v>#N/A</v>
      </c>
      <c r="D87" s="3" t="e">
        <f>VLOOKUP(A87,Data!E:R,14,0)</f>
        <v>#N/A</v>
      </c>
      <c r="E87" t="e">
        <f t="shared" si="1"/>
        <v>#N/A</v>
      </c>
      <c r="F87" t="e">
        <f>+VLOOKUP(A87,Data!E:O,11,0)</f>
        <v>#N/A</v>
      </c>
      <c r="G87" t="e">
        <f>VLOOKUP(Table1[[#This Row],[Ship ID]],Data!E:H,4,0)</f>
        <v>#N/A</v>
      </c>
      <c r="H87" t="e">
        <f>+VLOOKUP(Table1[[#This Row],[Ship ID]],Data!E:J,6,0)</f>
        <v>#N/A</v>
      </c>
      <c r="I87" s="7" t="e">
        <f>VLOOKUP(Table1[[#This Row],[Ship ID]],Data!E:AB,24,0)</f>
        <v>#N/A</v>
      </c>
    </row>
    <row r="88" spans="1:9" x14ac:dyDescent="0.25">
      <c r="A88" s="1">
        <f>+Data!E88</f>
        <v>0</v>
      </c>
      <c r="B88" t="e">
        <f>VLOOKUP(A88,Data!E:G,3,0)</f>
        <v>#N/A</v>
      </c>
      <c r="C88" t="e">
        <f>VLOOKUP(A88,Data!E:N,10,0)</f>
        <v>#N/A</v>
      </c>
      <c r="D88" s="3" t="e">
        <f>VLOOKUP(A88,Data!E:R,14,0)</f>
        <v>#N/A</v>
      </c>
      <c r="E88" t="e">
        <f t="shared" si="1"/>
        <v>#N/A</v>
      </c>
      <c r="F88" t="e">
        <f>+VLOOKUP(A88,Data!E:O,11,0)</f>
        <v>#N/A</v>
      </c>
      <c r="G88" t="e">
        <f>VLOOKUP(Table1[[#This Row],[Ship ID]],Data!E:H,4,0)</f>
        <v>#N/A</v>
      </c>
      <c r="H88" t="e">
        <f>+VLOOKUP(Table1[[#This Row],[Ship ID]],Data!E:J,6,0)</f>
        <v>#N/A</v>
      </c>
      <c r="I88" s="7" t="e">
        <f>VLOOKUP(Table1[[#This Row],[Ship ID]],Data!E:AB,24,0)</f>
        <v>#N/A</v>
      </c>
    </row>
    <row r="89" spans="1:9" x14ac:dyDescent="0.25">
      <c r="A89" s="1">
        <f>+Data!E89</f>
        <v>0</v>
      </c>
      <c r="B89" t="e">
        <f>VLOOKUP(A89,Data!E:G,3,0)</f>
        <v>#N/A</v>
      </c>
      <c r="C89" t="e">
        <f>VLOOKUP(A89,Data!E:N,10,0)</f>
        <v>#N/A</v>
      </c>
      <c r="D89" s="3" t="e">
        <f>VLOOKUP(A89,Data!E:R,14,0)</f>
        <v>#N/A</v>
      </c>
      <c r="E89" t="e">
        <f t="shared" si="1"/>
        <v>#N/A</v>
      </c>
      <c r="F89" t="e">
        <f>+VLOOKUP(A89,Data!E:O,11,0)</f>
        <v>#N/A</v>
      </c>
      <c r="G89" t="e">
        <f>VLOOKUP(Table1[[#This Row],[Ship ID]],Data!E:H,4,0)</f>
        <v>#N/A</v>
      </c>
      <c r="H89" t="e">
        <f>+VLOOKUP(Table1[[#This Row],[Ship ID]],Data!E:J,6,0)</f>
        <v>#N/A</v>
      </c>
      <c r="I89" s="7" t="e">
        <f>VLOOKUP(Table1[[#This Row],[Ship ID]],Data!E:AB,24,0)</f>
        <v>#N/A</v>
      </c>
    </row>
    <row r="90" spans="1:9" x14ac:dyDescent="0.25">
      <c r="A90" s="1">
        <f>+Data!E90</f>
        <v>0</v>
      </c>
      <c r="B90" t="e">
        <f>VLOOKUP(A90,Data!E:G,3,0)</f>
        <v>#N/A</v>
      </c>
      <c r="C90" t="e">
        <f>VLOOKUP(A90,Data!E:N,10,0)</f>
        <v>#N/A</v>
      </c>
      <c r="D90" s="3" t="e">
        <f>VLOOKUP(A90,Data!E:R,14,0)</f>
        <v>#N/A</v>
      </c>
      <c r="E90" t="e">
        <f t="shared" si="1"/>
        <v>#N/A</v>
      </c>
      <c r="F90" t="e">
        <f>+VLOOKUP(A90,Data!E:O,11,0)</f>
        <v>#N/A</v>
      </c>
      <c r="G90" t="e">
        <f>VLOOKUP(Table1[[#This Row],[Ship ID]],Data!E:H,4,0)</f>
        <v>#N/A</v>
      </c>
      <c r="H90" t="e">
        <f>+VLOOKUP(Table1[[#This Row],[Ship ID]],Data!E:J,6,0)</f>
        <v>#N/A</v>
      </c>
      <c r="I90" s="7" t="e">
        <f>VLOOKUP(Table1[[#This Row],[Ship ID]],Data!E:AB,24,0)</f>
        <v>#N/A</v>
      </c>
    </row>
    <row r="91" spans="1:9" x14ac:dyDescent="0.25">
      <c r="A91" s="1">
        <f>+Data!E91</f>
        <v>0</v>
      </c>
      <c r="B91" t="e">
        <f>VLOOKUP(A91,Data!E:G,3,0)</f>
        <v>#N/A</v>
      </c>
      <c r="C91" t="e">
        <f>VLOOKUP(A91,Data!E:N,10,0)</f>
        <v>#N/A</v>
      </c>
      <c r="D91" s="3" t="e">
        <f>VLOOKUP(A91,Data!E:R,14,0)</f>
        <v>#N/A</v>
      </c>
      <c r="E91" t="e">
        <f t="shared" si="1"/>
        <v>#N/A</v>
      </c>
      <c r="F91" t="e">
        <f>+VLOOKUP(A91,Data!E:O,11,0)</f>
        <v>#N/A</v>
      </c>
      <c r="G91" t="e">
        <f>VLOOKUP(Table1[[#This Row],[Ship ID]],Data!E:H,4,0)</f>
        <v>#N/A</v>
      </c>
      <c r="H91" t="e">
        <f>+VLOOKUP(Table1[[#This Row],[Ship ID]],Data!E:J,6,0)</f>
        <v>#N/A</v>
      </c>
      <c r="I91" s="7" t="e">
        <f>VLOOKUP(Table1[[#This Row],[Ship ID]],Data!E:AB,24,0)</f>
        <v>#N/A</v>
      </c>
    </row>
    <row r="92" spans="1:9" x14ac:dyDescent="0.25">
      <c r="A92" s="1">
        <f>+Data!E92</f>
        <v>0</v>
      </c>
      <c r="B92" t="e">
        <f>VLOOKUP(A92,Data!E:G,3,0)</f>
        <v>#N/A</v>
      </c>
      <c r="C92" t="e">
        <f>VLOOKUP(A92,Data!E:N,10,0)</f>
        <v>#N/A</v>
      </c>
      <c r="D92" s="3" t="e">
        <f>VLOOKUP(A92,Data!E:R,14,0)</f>
        <v>#N/A</v>
      </c>
      <c r="E92" t="e">
        <f t="shared" si="1"/>
        <v>#N/A</v>
      </c>
      <c r="F92" t="e">
        <f>+VLOOKUP(A92,Data!E:O,11,0)</f>
        <v>#N/A</v>
      </c>
      <c r="G92" t="e">
        <f>VLOOKUP(Table1[[#This Row],[Ship ID]],Data!E:H,4,0)</f>
        <v>#N/A</v>
      </c>
      <c r="H92" t="e">
        <f>+VLOOKUP(Table1[[#This Row],[Ship ID]],Data!E:J,6,0)</f>
        <v>#N/A</v>
      </c>
      <c r="I92" s="7" t="e">
        <f>VLOOKUP(Table1[[#This Row],[Ship ID]],Data!E:AB,24,0)</f>
        <v>#N/A</v>
      </c>
    </row>
    <row r="93" spans="1:9" x14ac:dyDescent="0.25">
      <c r="A93" s="1">
        <f>+Data!E93</f>
        <v>0</v>
      </c>
      <c r="B93" t="e">
        <f>VLOOKUP(A93,Data!E:G,3,0)</f>
        <v>#N/A</v>
      </c>
      <c r="C93" t="e">
        <f>VLOOKUP(A93,Data!E:N,10,0)</f>
        <v>#N/A</v>
      </c>
      <c r="D93" s="3" t="e">
        <f>VLOOKUP(A93,Data!E:R,14,0)</f>
        <v>#N/A</v>
      </c>
      <c r="E93" t="e">
        <f t="shared" si="1"/>
        <v>#N/A</v>
      </c>
      <c r="F93" t="e">
        <f>+VLOOKUP(A93,Data!E:O,11,0)</f>
        <v>#N/A</v>
      </c>
      <c r="G93" t="e">
        <f>VLOOKUP(Table1[[#This Row],[Ship ID]],Data!E:H,4,0)</f>
        <v>#N/A</v>
      </c>
      <c r="H93" t="e">
        <f>+VLOOKUP(Table1[[#This Row],[Ship ID]],Data!E:J,6,0)</f>
        <v>#N/A</v>
      </c>
      <c r="I93" s="7" t="e">
        <f>VLOOKUP(Table1[[#This Row],[Ship ID]],Data!E:AB,24,0)</f>
        <v>#N/A</v>
      </c>
    </row>
    <row r="94" spans="1:9" x14ac:dyDescent="0.25">
      <c r="A94" s="1">
        <f>+Data!E94</f>
        <v>0</v>
      </c>
      <c r="B94" t="e">
        <f>VLOOKUP(A94,Data!E:G,3,0)</f>
        <v>#N/A</v>
      </c>
      <c r="C94" t="e">
        <f>VLOOKUP(A94,Data!E:N,10,0)</f>
        <v>#N/A</v>
      </c>
      <c r="D94" s="3" t="e">
        <f>VLOOKUP(A94,Data!E:R,14,0)</f>
        <v>#N/A</v>
      </c>
      <c r="E94" t="e">
        <f t="shared" si="1"/>
        <v>#N/A</v>
      </c>
      <c r="F94" t="e">
        <f>+VLOOKUP(A94,Data!E:O,11,0)</f>
        <v>#N/A</v>
      </c>
      <c r="G94" t="e">
        <f>VLOOKUP(Table1[[#This Row],[Ship ID]],Data!E:H,4,0)</f>
        <v>#N/A</v>
      </c>
      <c r="H94" t="e">
        <f>+VLOOKUP(Table1[[#This Row],[Ship ID]],Data!E:J,6,0)</f>
        <v>#N/A</v>
      </c>
      <c r="I94" s="7" t="e">
        <f>VLOOKUP(Table1[[#This Row],[Ship ID]],Data!E:AB,24,0)</f>
        <v>#N/A</v>
      </c>
    </row>
    <row r="95" spans="1:9" x14ac:dyDescent="0.25">
      <c r="A95" s="1">
        <f>+Data!E95</f>
        <v>0</v>
      </c>
      <c r="B95" t="e">
        <f>VLOOKUP(A95,Data!E:G,3,0)</f>
        <v>#N/A</v>
      </c>
      <c r="C95" t="e">
        <f>VLOOKUP(A95,Data!E:N,10,0)</f>
        <v>#N/A</v>
      </c>
      <c r="D95" s="3" t="e">
        <f>VLOOKUP(A95,Data!E:R,14,0)</f>
        <v>#N/A</v>
      </c>
      <c r="E95" t="e">
        <f t="shared" si="1"/>
        <v>#N/A</v>
      </c>
      <c r="F95" t="e">
        <f>+VLOOKUP(A95,Data!E:O,11,0)</f>
        <v>#N/A</v>
      </c>
      <c r="G95" t="e">
        <f>VLOOKUP(Table1[[#This Row],[Ship ID]],Data!E:H,4,0)</f>
        <v>#N/A</v>
      </c>
      <c r="H95" t="e">
        <f>+VLOOKUP(Table1[[#This Row],[Ship ID]],Data!E:J,6,0)</f>
        <v>#N/A</v>
      </c>
      <c r="I95" s="7" t="e">
        <f>VLOOKUP(Table1[[#This Row],[Ship ID]],Data!E:AB,24,0)</f>
        <v>#N/A</v>
      </c>
    </row>
    <row r="96" spans="1:9" x14ac:dyDescent="0.25">
      <c r="A96" s="1">
        <f>+Data!E96</f>
        <v>0</v>
      </c>
      <c r="B96" t="e">
        <f>VLOOKUP(A96,Data!E:G,3,0)</f>
        <v>#N/A</v>
      </c>
      <c r="C96" t="e">
        <f>VLOOKUP(A96,Data!E:N,10,0)</f>
        <v>#N/A</v>
      </c>
      <c r="D96" s="3" t="e">
        <f>VLOOKUP(A96,Data!E:R,14,0)</f>
        <v>#N/A</v>
      </c>
      <c r="E96" t="e">
        <f t="shared" si="1"/>
        <v>#N/A</v>
      </c>
      <c r="F96" t="e">
        <f>+VLOOKUP(A96,Data!E:O,11,0)</f>
        <v>#N/A</v>
      </c>
      <c r="G96" t="e">
        <f>VLOOKUP(Table1[[#This Row],[Ship ID]],Data!E:H,4,0)</f>
        <v>#N/A</v>
      </c>
      <c r="H96" t="e">
        <f>+VLOOKUP(Table1[[#This Row],[Ship ID]],Data!E:J,6,0)</f>
        <v>#N/A</v>
      </c>
      <c r="I96" s="7" t="e">
        <f>VLOOKUP(Table1[[#This Row],[Ship ID]],Data!E:AB,24,0)</f>
        <v>#N/A</v>
      </c>
    </row>
    <row r="97" spans="1:9" x14ac:dyDescent="0.25">
      <c r="A97" s="1">
        <f>+Data!E97</f>
        <v>0</v>
      </c>
      <c r="B97" t="e">
        <f>VLOOKUP(A97,Data!E:G,3,0)</f>
        <v>#N/A</v>
      </c>
      <c r="C97" t="e">
        <f>VLOOKUP(A97,Data!E:N,10,0)</f>
        <v>#N/A</v>
      </c>
      <c r="D97" s="3" t="e">
        <f>VLOOKUP(A97,Data!E:R,14,0)</f>
        <v>#N/A</v>
      </c>
      <c r="E97" t="e">
        <f t="shared" si="1"/>
        <v>#N/A</v>
      </c>
      <c r="F97" t="e">
        <f>+VLOOKUP(A97,Data!E:O,11,0)</f>
        <v>#N/A</v>
      </c>
      <c r="G97" t="e">
        <f>VLOOKUP(Table1[[#This Row],[Ship ID]],Data!E:H,4,0)</f>
        <v>#N/A</v>
      </c>
      <c r="H97" t="e">
        <f>+VLOOKUP(Table1[[#This Row],[Ship ID]],Data!E:J,6,0)</f>
        <v>#N/A</v>
      </c>
      <c r="I97" s="7" t="e">
        <f>VLOOKUP(Table1[[#This Row],[Ship ID]],Data!E:AB,24,0)</f>
        <v>#N/A</v>
      </c>
    </row>
    <row r="98" spans="1:9" x14ac:dyDescent="0.25">
      <c r="A98" s="1">
        <f>+Data!E98</f>
        <v>0</v>
      </c>
      <c r="B98" t="e">
        <f>VLOOKUP(A98,Data!E:G,3,0)</f>
        <v>#N/A</v>
      </c>
      <c r="C98" t="e">
        <f>VLOOKUP(A98,Data!E:N,10,0)</f>
        <v>#N/A</v>
      </c>
      <c r="D98" s="3" t="e">
        <f>VLOOKUP(A98,Data!E:R,14,0)</f>
        <v>#N/A</v>
      </c>
      <c r="E98" t="e">
        <f t="shared" si="1"/>
        <v>#N/A</v>
      </c>
      <c r="F98" t="e">
        <f>+VLOOKUP(A98,Data!E:O,11,0)</f>
        <v>#N/A</v>
      </c>
      <c r="G98" t="e">
        <f>VLOOKUP(Table1[[#This Row],[Ship ID]],Data!E:H,4,0)</f>
        <v>#N/A</v>
      </c>
      <c r="H98" t="e">
        <f>+VLOOKUP(Table1[[#This Row],[Ship ID]],Data!E:J,6,0)</f>
        <v>#N/A</v>
      </c>
      <c r="I98" s="7" t="e">
        <f>VLOOKUP(Table1[[#This Row],[Ship ID]],Data!E:AB,24,0)</f>
        <v>#N/A</v>
      </c>
    </row>
    <row r="99" spans="1:9" x14ac:dyDescent="0.25">
      <c r="A99" s="1">
        <f>+Data!E99</f>
        <v>0</v>
      </c>
      <c r="B99" t="e">
        <f>VLOOKUP(A99,Data!E:G,3,0)</f>
        <v>#N/A</v>
      </c>
      <c r="C99" t="e">
        <f>VLOOKUP(A99,Data!E:N,10,0)</f>
        <v>#N/A</v>
      </c>
      <c r="D99" s="3" t="e">
        <f>VLOOKUP(A99,Data!E:R,14,0)</f>
        <v>#N/A</v>
      </c>
      <c r="E99" t="e">
        <f t="shared" si="1"/>
        <v>#N/A</v>
      </c>
      <c r="F99" t="e">
        <f>+VLOOKUP(A99,Data!E:O,11,0)</f>
        <v>#N/A</v>
      </c>
      <c r="G99" t="e">
        <f>VLOOKUP(Table1[[#This Row],[Ship ID]],Data!E:H,4,0)</f>
        <v>#N/A</v>
      </c>
      <c r="H99" t="e">
        <f>+VLOOKUP(Table1[[#This Row],[Ship ID]],Data!E:J,6,0)</f>
        <v>#N/A</v>
      </c>
      <c r="I99" s="7" t="e">
        <f>VLOOKUP(Table1[[#This Row],[Ship ID]],Data!E:AB,24,0)</f>
        <v>#N/A</v>
      </c>
    </row>
    <row r="100" spans="1:9" x14ac:dyDescent="0.25">
      <c r="A100" s="1">
        <f>+Data!E100</f>
        <v>0</v>
      </c>
      <c r="B100" t="e">
        <f>VLOOKUP(A100,Data!E:G,3,0)</f>
        <v>#N/A</v>
      </c>
      <c r="C100" t="e">
        <f>VLOOKUP(A100,Data!E:N,10,0)</f>
        <v>#N/A</v>
      </c>
      <c r="D100" s="3" t="e">
        <f>VLOOKUP(A100,Data!E:R,14,0)</f>
        <v>#N/A</v>
      </c>
      <c r="E100" t="e">
        <f t="shared" si="1"/>
        <v>#N/A</v>
      </c>
      <c r="F100" t="e">
        <f>+VLOOKUP(A100,Data!E:O,11,0)</f>
        <v>#N/A</v>
      </c>
      <c r="G100" t="e">
        <f>VLOOKUP(Table1[[#This Row],[Ship ID]],Data!E:H,4,0)</f>
        <v>#N/A</v>
      </c>
      <c r="H100" t="e">
        <f>+VLOOKUP(Table1[[#This Row],[Ship ID]],Data!E:J,6,0)</f>
        <v>#N/A</v>
      </c>
      <c r="I100" s="7" t="e">
        <f>VLOOKUP(Table1[[#This Row],[Ship ID]],Data!E:AB,24,0)</f>
        <v>#N/A</v>
      </c>
    </row>
    <row r="101" spans="1:9" x14ac:dyDescent="0.25">
      <c r="A101" s="1">
        <f>+Data!E101</f>
        <v>0</v>
      </c>
      <c r="B101" t="e">
        <f>VLOOKUP(A101,Data!E:G,3,0)</f>
        <v>#N/A</v>
      </c>
      <c r="C101" t="e">
        <f>VLOOKUP(A101,Data!E:N,10,0)</f>
        <v>#N/A</v>
      </c>
      <c r="D101" s="3" t="e">
        <f>VLOOKUP(A101,Data!E:R,14,0)</f>
        <v>#N/A</v>
      </c>
      <c r="E101" t="e">
        <f t="shared" si="1"/>
        <v>#N/A</v>
      </c>
      <c r="F101" t="e">
        <f>+VLOOKUP(A101,Data!E:O,11,0)</f>
        <v>#N/A</v>
      </c>
      <c r="G101" t="e">
        <f>VLOOKUP(Table1[[#This Row],[Ship ID]],Data!E:H,4,0)</f>
        <v>#N/A</v>
      </c>
      <c r="H101" t="e">
        <f>+VLOOKUP(Table1[[#This Row],[Ship ID]],Data!E:J,6,0)</f>
        <v>#N/A</v>
      </c>
      <c r="I101" s="7" t="e">
        <f>VLOOKUP(Table1[[#This Row],[Ship ID]],Data!E:AB,24,0)</f>
        <v>#N/A</v>
      </c>
    </row>
    <row r="102" spans="1:9" x14ac:dyDescent="0.25">
      <c r="A102" s="1">
        <f>+Data!E102</f>
        <v>0</v>
      </c>
      <c r="B102" t="e">
        <f>VLOOKUP(A102,Data!E:G,3,0)</f>
        <v>#N/A</v>
      </c>
      <c r="C102" t="e">
        <f>VLOOKUP(A102,Data!E:N,10,0)</f>
        <v>#N/A</v>
      </c>
      <c r="D102" s="3" t="e">
        <f>VLOOKUP(A102,Data!E:R,14,0)</f>
        <v>#N/A</v>
      </c>
      <c r="E102" t="e">
        <f t="shared" si="1"/>
        <v>#N/A</v>
      </c>
      <c r="F102" t="e">
        <f>+VLOOKUP(A102,Data!E:O,11,0)</f>
        <v>#N/A</v>
      </c>
      <c r="G102" t="e">
        <f>VLOOKUP(Table1[[#This Row],[Ship ID]],Data!E:H,4,0)</f>
        <v>#N/A</v>
      </c>
      <c r="H102" t="e">
        <f>+VLOOKUP(Table1[[#This Row],[Ship ID]],Data!E:J,6,0)</f>
        <v>#N/A</v>
      </c>
      <c r="I102" s="7" t="e">
        <f>VLOOKUP(Table1[[#This Row],[Ship ID]],Data!E:AB,24,0)</f>
        <v>#N/A</v>
      </c>
    </row>
    <row r="103" spans="1:9" x14ac:dyDescent="0.25">
      <c r="A103" s="1">
        <f>+Data!E103</f>
        <v>0</v>
      </c>
      <c r="B103" t="e">
        <f>VLOOKUP(A103,Data!E:G,3,0)</f>
        <v>#N/A</v>
      </c>
      <c r="C103" t="e">
        <f>VLOOKUP(A103,Data!E:N,10,0)</f>
        <v>#N/A</v>
      </c>
      <c r="D103" s="3" t="e">
        <f>VLOOKUP(A103,Data!E:R,14,0)</f>
        <v>#N/A</v>
      </c>
      <c r="E103" t="e">
        <f t="shared" si="1"/>
        <v>#N/A</v>
      </c>
      <c r="F103" t="e">
        <f>+VLOOKUP(A103,Data!E:O,11,0)</f>
        <v>#N/A</v>
      </c>
      <c r="G103" t="e">
        <f>VLOOKUP(Table1[[#This Row],[Ship ID]],Data!E:H,4,0)</f>
        <v>#N/A</v>
      </c>
      <c r="H103" t="e">
        <f>+VLOOKUP(Table1[[#This Row],[Ship ID]],Data!E:J,6,0)</f>
        <v>#N/A</v>
      </c>
      <c r="I103" s="7" t="e">
        <f>VLOOKUP(Table1[[#This Row],[Ship ID]],Data!E:AB,24,0)</f>
        <v>#N/A</v>
      </c>
    </row>
    <row r="104" spans="1:9" x14ac:dyDescent="0.25">
      <c r="A104" s="1">
        <f>+Data!E104</f>
        <v>0</v>
      </c>
      <c r="B104" t="e">
        <f>VLOOKUP(A104,Data!E:G,3,0)</f>
        <v>#N/A</v>
      </c>
      <c r="C104" t="e">
        <f>VLOOKUP(A104,Data!E:N,10,0)</f>
        <v>#N/A</v>
      </c>
      <c r="D104" s="3" t="e">
        <f>VLOOKUP(A104,Data!E:R,14,0)</f>
        <v>#N/A</v>
      </c>
      <c r="E104" t="e">
        <f t="shared" si="1"/>
        <v>#N/A</v>
      </c>
      <c r="F104" t="e">
        <f>+VLOOKUP(A104,Data!E:O,11,0)</f>
        <v>#N/A</v>
      </c>
      <c r="G104" t="e">
        <f>VLOOKUP(Table1[[#This Row],[Ship ID]],Data!E:H,4,0)</f>
        <v>#N/A</v>
      </c>
      <c r="H104" t="e">
        <f>+VLOOKUP(Table1[[#This Row],[Ship ID]],Data!E:J,6,0)</f>
        <v>#N/A</v>
      </c>
      <c r="I104" s="7" t="e">
        <f>VLOOKUP(Table1[[#This Row],[Ship ID]],Data!E:AB,24,0)</f>
        <v>#N/A</v>
      </c>
    </row>
    <row r="105" spans="1:9" x14ac:dyDescent="0.25">
      <c r="A105" s="1">
        <f>+Data!E105</f>
        <v>0</v>
      </c>
      <c r="B105" t="e">
        <f>VLOOKUP(A105,Data!E:G,3,0)</f>
        <v>#N/A</v>
      </c>
      <c r="C105" t="e">
        <f>VLOOKUP(A105,Data!E:N,10,0)</f>
        <v>#N/A</v>
      </c>
      <c r="D105" s="3" t="e">
        <f>VLOOKUP(A105,Data!E:R,14,0)</f>
        <v>#N/A</v>
      </c>
      <c r="E105" t="e">
        <f t="shared" si="1"/>
        <v>#N/A</v>
      </c>
      <c r="F105" t="e">
        <f>+VLOOKUP(A105,Data!E:O,11,0)</f>
        <v>#N/A</v>
      </c>
      <c r="G105" t="e">
        <f>VLOOKUP(Table1[[#This Row],[Ship ID]],Data!E:H,4,0)</f>
        <v>#N/A</v>
      </c>
      <c r="H105" t="e">
        <f>+VLOOKUP(Table1[[#This Row],[Ship ID]],Data!E:J,6,0)</f>
        <v>#N/A</v>
      </c>
      <c r="I105" s="7" t="e">
        <f>VLOOKUP(Table1[[#This Row],[Ship ID]],Data!E:AB,24,0)</f>
        <v>#N/A</v>
      </c>
    </row>
    <row r="106" spans="1:9" x14ac:dyDescent="0.25">
      <c r="A106" s="1">
        <f>+Data!E106</f>
        <v>0</v>
      </c>
      <c r="B106" t="e">
        <f>VLOOKUP(A106,Data!E:G,3,0)</f>
        <v>#N/A</v>
      </c>
      <c r="C106" t="e">
        <f>VLOOKUP(A106,Data!E:N,10,0)</f>
        <v>#N/A</v>
      </c>
      <c r="D106" s="3" t="e">
        <f>VLOOKUP(A106,Data!E:R,14,0)</f>
        <v>#N/A</v>
      </c>
      <c r="E106" t="e">
        <f t="shared" si="1"/>
        <v>#N/A</v>
      </c>
      <c r="F106" t="e">
        <f>+VLOOKUP(A106,Data!E:O,11,0)</f>
        <v>#N/A</v>
      </c>
      <c r="G106" t="e">
        <f>VLOOKUP(Table1[[#This Row],[Ship ID]],Data!E:H,4,0)</f>
        <v>#N/A</v>
      </c>
      <c r="H106" t="e">
        <f>+VLOOKUP(Table1[[#This Row],[Ship ID]],Data!E:J,6,0)</f>
        <v>#N/A</v>
      </c>
      <c r="I106" s="7" t="e">
        <f>VLOOKUP(Table1[[#This Row],[Ship ID]],Data!E:AB,24,0)</f>
        <v>#N/A</v>
      </c>
    </row>
    <row r="107" spans="1:9" x14ac:dyDescent="0.25">
      <c r="A107" s="1">
        <f>+Data!E107</f>
        <v>0</v>
      </c>
      <c r="B107" t="e">
        <f>VLOOKUP(A107,Data!E:G,3,0)</f>
        <v>#N/A</v>
      </c>
      <c r="C107" t="e">
        <f>VLOOKUP(A107,Data!E:N,10,0)</f>
        <v>#N/A</v>
      </c>
      <c r="D107" s="3" t="e">
        <f>VLOOKUP(A107,Data!E:R,14,0)</f>
        <v>#N/A</v>
      </c>
      <c r="E107" t="e">
        <f t="shared" si="1"/>
        <v>#N/A</v>
      </c>
      <c r="F107" t="e">
        <f>+VLOOKUP(A107,Data!E:O,11,0)</f>
        <v>#N/A</v>
      </c>
      <c r="G107" t="e">
        <f>VLOOKUP(Table1[[#This Row],[Ship ID]],Data!E:H,4,0)</f>
        <v>#N/A</v>
      </c>
      <c r="H107" t="e">
        <f>+VLOOKUP(Table1[[#This Row],[Ship ID]],Data!E:J,6,0)</f>
        <v>#N/A</v>
      </c>
      <c r="I107" s="7" t="e">
        <f>VLOOKUP(Table1[[#This Row],[Ship ID]],Data!E:AB,24,0)</f>
        <v>#N/A</v>
      </c>
    </row>
    <row r="108" spans="1:9" x14ac:dyDescent="0.25">
      <c r="A108" s="1">
        <f>+Data!E108</f>
        <v>0</v>
      </c>
      <c r="B108" t="e">
        <f>VLOOKUP(A108,Data!E:G,3,0)</f>
        <v>#N/A</v>
      </c>
      <c r="C108" t="e">
        <f>VLOOKUP(A108,Data!E:N,10,0)</f>
        <v>#N/A</v>
      </c>
      <c r="D108" s="3" t="e">
        <f>VLOOKUP(A108,Data!E:R,14,0)</f>
        <v>#N/A</v>
      </c>
      <c r="E108" t="e">
        <f t="shared" si="1"/>
        <v>#N/A</v>
      </c>
      <c r="F108" t="e">
        <f>+VLOOKUP(A108,Data!E:O,11,0)</f>
        <v>#N/A</v>
      </c>
      <c r="G108" t="e">
        <f>VLOOKUP(Table1[[#This Row],[Ship ID]],Data!E:H,4,0)</f>
        <v>#N/A</v>
      </c>
      <c r="H108" t="e">
        <f>+VLOOKUP(Table1[[#This Row],[Ship ID]],Data!E:J,6,0)</f>
        <v>#N/A</v>
      </c>
      <c r="I108" s="7" t="e">
        <f>VLOOKUP(Table1[[#This Row],[Ship ID]],Data!E:AB,24,0)</f>
        <v>#N/A</v>
      </c>
    </row>
    <row r="109" spans="1:9" x14ac:dyDescent="0.25">
      <c r="A109" s="1">
        <f>+Data!E109</f>
        <v>0</v>
      </c>
      <c r="B109" t="e">
        <f>VLOOKUP(A109,Data!E:G,3,0)</f>
        <v>#N/A</v>
      </c>
      <c r="C109" t="e">
        <f>VLOOKUP(A109,Data!E:N,10,0)</f>
        <v>#N/A</v>
      </c>
      <c r="D109" s="3" t="e">
        <f>VLOOKUP(A109,Data!E:R,14,0)</f>
        <v>#N/A</v>
      </c>
      <c r="E109" t="e">
        <f t="shared" si="1"/>
        <v>#N/A</v>
      </c>
      <c r="F109" t="e">
        <f>+VLOOKUP(A109,Data!E:O,11,0)</f>
        <v>#N/A</v>
      </c>
      <c r="G109" t="e">
        <f>VLOOKUP(Table1[[#This Row],[Ship ID]],Data!E:H,4,0)</f>
        <v>#N/A</v>
      </c>
      <c r="H109" t="e">
        <f>+VLOOKUP(Table1[[#This Row],[Ship ID]],Data!E:J,6,0)</f>
        <v>#N/A</v>
      </c>
      <c r="I109" s="7" t="e">
        <f>VLOOKUP(Table1[[#This Row],[Ship ID]],Data!E:AB,24,0)</f>
        <v>#N/A</v>
      </c>
    </row>
    <row r="110" spans="1:9" x14ac:dyDescent="0.25">
      <c r="A110" s="1">
        <f>+Data!E110</f>
        <v>0</v>
      </c>
      <c r="B110" t="e">
        <f>VLOOKUP(A110,Data!E:G,3,0)</f>
        <v>#N/A</v>
      </c>
      <c r="C110" t="e">
        <f>VLOOKUP(A110,Data!E:N,10,0)</f>
        <v>#N/A</v>
      </c>
      <c r="D110" s="3" t="e">
        <f>VLOOKUP(A110,Data!E:R,14,0)</f>
        <v>#N/A</v>
      </c>
      <c r="E110" t="e">
        <f t="shared" si="1"/>
        <v>#N/A</v>
      </c>
      <c r="F110" t="e">
        <f>+VLOOKUP(A110,Data!E:O,11,0)</f>
        <v>#N/A</v>
      </c>
      <c r="G110" t="e">
        <f>VLOOKUP(Table1[[#This Row],[Ship ID]],Data!E:H,4,0)</f>
        <v>#N/A</v>
      </c>
      <c r="H110" t="e">
        <f>+VLOOKUP(Table1[[#This Row],[Ship ID]],Data!E:J,6,0)</f>
        <v>#N/A</v>
      </c>
      <c r="I110" s="7" t="e">
        <f>VLOOKUP(Table1[[#This Row],[Ship ID]],Data!E:AB,24,0)</f>
        <v>#N/A</v>
      </c>
    </row>
    <row r="111" spans="1:9" x14ac:dyDescent="0.25">
      <c r="A111" s="1">
        <f>+Data!E111</f>
        <v>0</v>
      </c>
      <c r="B111" t="e">
        <f>VLOOKUP(A111,Data!E:G,3,0)</f>
        <v>#N/A</v>
      </c>
      <c r="C111" t="e">
        <f>VLOOKUP(A111,Data!E:N,10,0)</f>
        <v>#N/A</v>
      </c>
      <c r="D111" s="3" t="e">
        <f>VLOOKUP(A111,Data!E:R,14,0)</f>
        <v>#N/A</v>
      </c>
      <c r="E111" t="e">
        <f t="shared" si="1"/>
        <v>#N/A</v>
      </c>
      <c r="F111" t="e">
        <f>+VLOOKUP(A111,Data!E:O,11,0)</f>
        <v>#N/A</v>
      </c>
      <c r="G111" t="e">
        <f>VLOOKUP(Table1[[#This Row],[Ship ID]],Data!E:H,4,0)</f>
        <v>#N/A</v>
      </c>
      <c r="H111" t="e">
        <f>+VLOOKUP(Table1[[#This Row],[Ship ID]],Data!E:J,6,0)</f>
        <v>#N/A</v>
      </c>
      <c r="I111" s="7" t="e">
        <f>VLOOKUP(Table1[[#This Row],[Ship ID]],Data!E:AB,24,0)</f>
        <v>#N/A</v>
      </c>
    </row>
    <row r="112" spans="1:9" x14ac:dyDescent="0.25">
      <c r="A112" s="1">
        <f>+Data!E112</f>
        <v>0</v>
      </c>
      <c r="B112" t="e">
        <f>VLOOKUP(A112,Data!E:G,3,0)</f>
        <v>#N/A</v>
      </c>
      <c r="C112" t="e">
        <f>VLOOKUP(A112,Data!E:N,10,0)</f>
        <v>#N/A</v>
      </c>
      <c r="D112" s="3" t="e">
        <f>VLOOKUP(A112,Data!E:R,14,0)</f>
        <v>#N/A</v>
      </c>
      <c r="E112" t="e">
        <f t="shared" si="1"/>
        <v>#N/A</v>
      </c>
      <c r="F112" t="e">
        <f>+VLOOKUP(A112,Data!E:O,11,0)</f>
        <v>#N/A</v>
      </c>
      <c r="G112" t="e">
        <f>VLOOKUP(Table1[[#This Row],[Ship ID]],Data!E:H,4,0)</f>
        <v>#N/A</v>
      </c>
      <c r="H112" t="e">
        <f>+VLOOKUP(Table1[[#This Row],[Ship ID]],Data!E:J,6,0)</f>
        <v>#N/A</v>
      </c>
      <c r="I112" s="7" t="e">
        <f>VLOOKUP(Table1[[#This Row],[Ship ID]],Data!E:AB,24,0)</f>
        <v>#N/A</v>
      </c>
    </row>
    <row r="113" spans="1:9" x14ac:dyDescent="0.25">
      <c r="A113" s="1">
        <f>+Data!E113</f>
        <v>0</v>
      </c>
      <c r="B113" t="e">
        <f>VLOOKUP(A113,Data!E:G,3,0)</f>
        <v>#N/A</v>
      </c>
      <c r="C113" t="e">
        <f>VLOOKUP(A113,Data!E:N,10,0)</f>
        <v>#N/A</v>
      </c>
      <c r="D113" s="3" t="e">
        <f>VLOOKUP(A113,Data!E:R,14,0)</f>
        <v>#N/A</v>
      </c>
      <c r="E113" t="e">
        <f t="shared" si="1"/>
        <v>#N/A</v>
      </c>
      <c r="F113" t="e">
        <f>+VLOOKUP(A113,Data!E:O,11,0)</f>
        <v>#N/A</v>
      </c>
      <c r="G113" t="e">
        <f>VLOOKUP(Table1[[#This Row],[Ship ID]],Data!E:H,4,0)</f>
        <v>#N/A</v>
      </c>
      <c r="H113" t="e">
        <f>+VLOOKUP(Table1[[#This Row],[Ship ID]],Data!E:J,6,0)</f>
        <v>#N/A</v>
      </c>
      <c r="I113" s="7" t="e">
        <f>VLOOKUP(Table1[[#This Row],[Ship ID]],Data!E:AB,24,0)</f>
        <v>#N/A</v>
      </c>
    </row>
    <row r="114" spans="1:9" x14ac:dyDescent="0.25">
      <c r="A114" s="1">
        <f>+Data!E114</f>
        <v>0</v>
      </c>
      <c r="B114" t="e">
        <f>VLOOKUP(A114,Data!E:G,3,0)</f>
        <v>#N/A</v>
      </c>
      <c r="C114" t="e">
        <f>VLOOKUP(A114,Data!E:N,10,0)</f>
        <v>#N/A</v>
      </c>
      <c r="D114" s="3" t="e">
        <f>VLOOKUP(A114,Data!E:R,14,0)</f>
        <v>#N/A</v>
      </c>
      <c r="E114" t="e">
        <f t="shared" si="1"/>
        <v>#N/A</v>
      </c>
      <c r="F114" t="e">
        <f>+VLOOKUP(A114,Data!E:O,11,0)</f>
        <v>#N/A</v>
      </c>
      <c r="G114" t="e">
        <f>VLOOKUP(Table1[[#This Row],[Ship ID]],Data!E:H,4,0)</f>
        <v>#N/A</v>
      </c>
      <c r="H114" t="e">
        <f>+VLOOKUP(Table1[[#This Row],[Ship ID]],Data!E:J,6,0)</f>
        <v>#N/A</v>
      </c>
      <c r="I114" s="7" t="e">
        <f>VLOOKUP(Table1[[#This Row],[Ship ID]],Data!E:AB,24,0)</f>
        <v>#N/A</v>
      </c>
    </row>
    <row r="115" spans="1:9" x14ac:dyDescent="0.25">
      <c r="A115" s="1">
        <f>+Data!E115</f>
        <v>0</v>
      </c>
      <c r="B115" t="e">
        <f>VLOOKUP(A115,Data!E:G,3,0)</f>
        <v>#N/A</v>
      </c>
      <c r="C115" t="e">
        <f>VLOOKUP(A115,Data!E:N,10,0)</f>
        <v>#N/A</v>
      </c>
      <c r="D115" s="3" t="e">
        <f>VLOOKUP(A115,Data!E:R,14,0)</f>
        <v>#N/A</v>
      </c>
      <c r="E115" t="e">
        <f t="shared" si="1"/>
        <v>#N/A</v>
      </c>
      <c r="F115" t="e">
        <f>+VLOOKUP(A115,Data!E:O,11,0)</f>
        <v>#N/A</v>
      </c>
      <c r="G115" t="e">
        <f>VLOOKUP(Table1[[#This Row],[Ship ID]],Data!E:H,4,0)</f>
        <v>#N/A</v>
      </c>
      <c r="H115" t="e">
        <f>+VLOOKUP(Table1[[#This Row],[Ship ID]],Data!E:J,6,0)</f>
        <v>#N/A</v>
      </c>
      <c r="I115" s="7" t="e">
        <f>VLOOKUP(Table1[[#This Row],[Ship ID]],Data!E:AB,24,0)</f>
        <v>#N/A</v>
      </c>
    </row>
    <row r="116" spans="1:9" x14ac:dyDescent="0.25">
      <c r="A116" s="1">
        <f>+Data!E116</f>
        <v>0</v>
      </c>
      <c r="B116" t="e">
        <f>VLOOKUP(A116,Data!E:G,3,0)</f>
        <v>#N/A</v>
      </c>
      <c r="C116" t="e">
        <f>VLOOKUP(A116,Data!E:N,10,0)</f>
        <v>#N/A</v>
      </c>
      <c r="D116" s="3" t="e">
        <f>VLOOKUP(A116,Data!E:R,14,0)</f>
        <v>#N/A</v>
      </c>
      <c r="E116" t="e">
        <f t="shared" si="1"/>
        <v>#N/A</v>
      </c>
      <c r="F116" t="e">
        <f>+VLOOKUP(A116,Data!E:O,11,0)</f>
        <v>#N/A</v>
      </c>
      <c r="G116" t="e">
        <f>VLOOKUP(Table1[[#This Row],[Ship ID]],Data!E:H,4,0)</f>
        <v>#N/A</v>
      </c>
      <c r="H116" t="e">
        <f>+VLOOKUP(Table1[[#This Row],[Ship ID]],Data!E:J,6,0)</f>
        <v>#N/A</v>
      </c>
      <c r="I116" s="7" t="e">
        <f>VLOOKUP(Table1[[#This Row],[Ship ID]],Data!E:AB,24,0)</f>
        <v>#N/A</v>
      </c>
    </row>
    <row r="117" spans="1:9" x14ac:dyDescent="0.25">
      <c r="A117" s="1">
        <f>+Data!E117</f>
        <v>0</v>
      </c>
      <c r="B117" t="e">
        <f>VLOOKUP(A117,Data!E:G,3,0)</f>
        <v>#N/A</v>
      </c>
      <c r="C117" t="e">
        <f>VLOOKUP(A117,Data!E:N,10,0)</f>
        <v>#N/A</v>
      </c>
      <c r="D117" s="3" t="e">
        <f>VLOOKUP(A117,Data!E:R,14,0)</f>
        <v>#N/A</v>
      </c>
      <c r="E117" t="e">
        <f t="shared" si="1"/>
        <v>#N/A</v>
      </c>
      <c r="F117" t="e">
        <f>+VLOOKUP(A117,Data!E:O,11,0)</f>
        <v>#N/A</v>
      </c>
      <c r="G117" t="e">
        <f>VLOOKUP(Table1[[#This Row],[Ship ID]],Data!E:H,4,0)</f>
        <v>#N/A</v>
      </c>
      <c r="H117" t="e">
        <f>+VLOOKUP(Table1[[#This Row],[Ship ID]],Data!E:J,6,0)</f>
        <v>#N/A</v>
      </c>
      <c r="I117" s="7" t="e">
        <f>VLOOKUP(Table1[[#This Row],[Ship ID]],Data!E:AB,24,0)</f>
        <v>#N/A</v>
      </c>
    </row>
    <row r="118" spans="1:9" x14ac:dyDescent="0.25">
      <c r="A118" s="1">
        <f>+Data!E118</f>
        <v>0</v>
      </c>
      <c r="B118" t="e">
        <f>VLOOKUP(A118,Data!E:G,3,0)</f>
        <v>#N/A</v>
      </c>
      <c r="C118" t="e">
        <f>VLOOKUP(A118,Data!E:N,10,0)</f>
        <v>#N/A</v>
      </c>
      <c r="D118" s="3" t="e">
        <f>VLOOKUP(A118,Data!E:R,14,0)</f>
        <v>#N/A</v>
      </c>
      <c r="E118" t="e">
        <f t="shared" si="1"/>
        <v>#N/A</v>
      </c>
      <c r="F118" t="e">
        <f>+VLOOKUP(A118,Data!E:O,11,0)</f>
        <v>#N/A</v>
      </c>
      <c r="G118" t="e">
        <f>VLOOKUP(Table1[[#This Row],[Ship ID]],Data!E:H,4,0)</f>
        <v>#N/A</v>
      </c>
      <c r="H118" t="e">
        <f>+VLOOKUP(Table1[[#This Row],[Ship ID]],Data!E:J,6,0)</f>
        <v>#N/A</v>
      </c>
      <c r="I118" s="7" t="e">
        <f>VLOOKUP(Table1[[#This Row],[Ship ID]],Data!E:AB,24,0)</f>
        <v>#N/A</v>
      </c>
    </row>
    <row r="119" spans="1:9" x14ac:dyDescent="0.25">
      <c r="A119" s="1">
        <f>+Data!E119</f>
        <v>0</v>
      </c>
      <c r="B119" t="e">
        <f>VLOOKUP(A119,Data!E:G,3,0)</f>
        <v>#N/A</v>
      </c>
      <c r="C119" t="e">
        <f>VLOOKUP(A119,Data!E:N,10,0)</f>
        <v>#N/A</v>
      </c>
      <c r="D119" s="3" t="e">
        <f>VLOOKUP(A119,Data!E:R,14,0)</f>
        <v>#N/A</v>
      </c>
      <c r="E119" t="e">
        <f t="shared" si="1"/>
        <v>#N/A</v>
      </c>
      <c r="F119" t="e">
        <f>+VLOOKUP(A119,Data!E:O,11,0)</f>
        <v>#N/A</v>
      </c>
      <c r="G119" t="e">
        <f>VLOOKUP(Table1[[#This Row],[Ship ID]],Data!E:H,4,0)</f>
        <v>#N/A</v>
      </c>
      <c r="H119" t="e">
        <f>+VLOOKUP(Table1[[#This Row],[Ship ID]],Data!E:J,6,0)</f>
        <v>#N/A</v>
      </c>
      <c r="I119" s="7" t="e">
        <f>VLOOKUP(Table1[[#This Row],[Ship ID]],Data!E:AB,24,0)</f>
        <v>#N/A</v>
      </c>
    </row>
    <row r="120" spans="1:9" x14ac:dyDescent="0.25">
      <c r="A120" s="1">
        <f>+Data!E120</f>
        <v>0</v>
      </c>
      <c r="B120" t="e">
        <f>VLOOKUP(A120,Data!E:G,3,0)</f>
        <v>#N/A</v>
      </c>
      <c r="C120" t="e">
        <f>VLOOKUP(A120,Data!E:N,10,0)</f>
        <v>#N/A</v>
      </c>
      <c r="D120" s="3" t="e">
        <f>VLOOKUP(A120,Data!E:R,14,0)</f>
        <v>#N/A</v>
      </c>
      <c r="E120" t="e">
        <f t="shared" si="1"/>
        <v>#N/A</v>
      </c>
      <c r="F120" t="e">
        <f>+VLOOKUP(A120,Data!E:O,11,0)</f>
        <v>#N/A</v>
      </c>
      <c r="G120" t="e">
        <f>VLOOKUP(Table1[[#This Row],[Ship ID]],Data!E:H,4,0)</f>
        <v>#N/A</v>
      </c>
      <c r="H120" t="e">
        <f>+VLOOKUP(Table1[[#This Row],[Ship ID]],Data!E:J,6,0)</f>
        <v>#N/A</v>
      </c>
      <c r="I120" s="7" t="e">
        <f>VLOOKUP(Table1[[#This Row],[Ship ID]],Data!E:AB,24,0)</f>
        <v>#N/A</v>
      </c>
    </row>
    <row r="121" spans="1:9" x14ac:dyDescent="0.25">
      <c r="A121" s="1">
        <f>+Data!E121</f>
        <v>0</v>
      </c>
      <c r="B121" t="e">
        <f>VLOOKUP(A121,Data!E:G,3,0)</f>
        <v>#N/A</v>
      </c>
      <c r="C121" t="e">
        <f>VLOOKUP(A121,Data!E:N,10,0)</f>
        <v>#N/A</v>
      </c>
      <c r="D121" s="3" t="e">
        <f>VLOOKUP(A121,Data!E:R,14,0)</f>
        <v>#N/A</v>
      </c>
      <c r="E121" t="e">
        <f t="shared" si="1"/>
        <v>#N/A</v>
      </c>
      <c r="F121" t="e">
        <f>+VLOOKUP(A121,Data!E:O,11,0)</f>
        <v>#N/A</v>
      </c>
      <c r="G121" t="e">
        <f>VLOOKUP(Table1[[#This Row],[Ship ID]],Data!E:H,4,0)</f>
        <v>#N/A</v>
      </c>
      <c r="H121" t="e">
        <f>+VLOOKUP(Table1[[#This Row],[Ship ID]],Data!E:J,6,0)</f>
        <v>#N/A</v>
      </c>
      <c r="I121" s="7" t="e">
        <f>VLOOKUP(Table1[[#This Row],[Ship ID]],Data!E:AB,24,0)</f>
        <v>#N/A</v>
      </c>
    </row>
    <row r="122" spans="1:9" x14ac:dyDescent="0.25">
      <c r="A122" s="1">
        <f>+Data!E122</f>
        <v>0</v>
      </c>
      <c r="B122" t="e">
        <f>VLOOKUP(A122,Data!E:G,3,0)</f>
        <v>#N/A</v>
      </c>
      <c r="C122" t="e">
        <f>VLOOKUP(A122,Data!E:N,10,0)</f>
        <v>#N/A</v>
      </c>
      <c r="D122" s="3" t="e">
        <f>VLOOKUP(A122,Data!E:R,14,0)</f>
        <v>#N/A</v>
      </c>
      <c r="E122" t="e">
        <f t="shared" si="1"/>
        <v>#N/A</v>
      </c>
      <c r="F122" t="e">
        <f>+VLOOKUP(A122,Data!E:O,11,0)</f>
        <v>#N/A</v>
      </c>
      <c r="G122" t="e">
        <f>VLOOKUP(Table1[[#This Row],[Ship ID]],Data!E:H,4,0)</f>
        <v>#N/A</v>
      </c>
      <c r="H122" t="e">
        <f>+VLOOKUP(Table1[[#This Row],[Ship ID]],Data!E:J,6,0)</f>
        <v>#N/A</v>
      </c>
      <c r="I122" s="7" t="e">
        <f>VLOOKUP(Table1[[#This Row],[Ship ID]],Data!E:AB,24,0)</f>
        <v>#N/A</v>
      </c>
    </row>
    <row r="123" spans="1:9" x14ac:dyDescent="0.25">
      <c r="A123" s="1">
        <f>+Data!E123</f>
        <v>0</v>
      </c>
      <c r="B123" t="e">
        <f>VLOOKUP(A123,Data!E:G,3,0)</f>
        <v>#N/A</v>
      </c>
      <c r="C123" t="e">
        <f>VLOOKUP(A123,Data!E:N,10,0)</f>
        <v>#N/A</v>
      </c>
      <c r="D123" s="3" t="e">
        <f>VLOOKUP(A123,Data!E:R,14,0)</f>
        <v>#N/A</v>
      </c>
      <c r="E123" t="e">
        <f t="shared" si="1"/>
        <v>#N/A</v>
      </c>
      <c r="F123" t="e">
        <f>+VLOOKUP(A123,Data!E:O,11,0)</f>
        <v>#N/A</v>
      </c>
      <c r="G123" t="e">
        <f>VLOOKUP(Table1[[#This Row],[Ship ID]],Data!E:H,4,0)</f>
        <v>#N/A</v>
      </c>
      <c r="H123" t="e">
        <f>+VLOOKUP(Table1[[#This Row],[Ship ID]],Data!E:J,6,0)</f>
        <v>#N/A</v>
      </c>
      <c r="I123" s="7" t="e">
        <f>VLOOKUP(Table1[[#This Row],[Ship ID]],Data!E:AB,24,0)</f>
        <v>#N/A</v>
      </c>
    </row>
    <row r="124" spans="1:9" x14ac:dyDescent="0.25">
      <c r="A124" s="1">
        <f>+Data!E124</f>
        <v>0</v>
      </c>
      <c r="B124" t="e">
        <f>VLOOKUP(A124,Data!E:G,3,0)</f>
        <v>#N/A</v>
      </c>
      <c r="C124" t="e">
        <f>VLOOKUP(A124,Data!E:N,10,0)</f>
        <v>#N/A</v>
      </c>
      <c r="D124" s="3" t="e">
        <f>VLOOKUP(A124,Data!E:R,14,0)</f>
        <v>#N/A</v>
      </c>
      <c r="E124" t="e">
        <f t="shared" si="1"/>
        <v>#N/A</v>
      </c>
      <c r="F124" t="e">
        <f>+VLOOKUP(A124,Data!E:O,11,0)</f>
        <v>#N/A</v>
      </c>
      <c r="G124" t="e">
        <f>VLOOKUP(Table1[[#This Row],[Ship ID]],Data!E:H,4,0)</f>
        <v>#N/A</v>
      </c>
      <c r="H124" t="e">
        <f>+VLOOKUP(Table1[[#This Row],[Ship ID]],Data!E:J,6,0)</f>
        <v>#N/A</v>
      </c>
      <c r="I124" s="7" t="e">
        <f>VLOOKUP(Table1[[#This Row],[Ship ID]],Data!E:AB,24,0)</f>
        <v>#N/A</v>
      </c>
    </row>
    <row r="125" spans="1:9" x14ac:dyDescent="0.25">
      <c r="A125" s="1">
        <f>+Data!E125</f>
        <v>0</v>
      </c>
      <c r="B125" t="e">
        <f>VLOOKUP(A125,Data!E:G,3,0)</f>
        <v>#N/A</v>
      </c>
      <c r="C125" t="e">
        <f>VLOOKUP(A125,Data!E:N,10,0)</f>
        <v>#N/A</v>
      </c>
      <c r="D125" s="3" t="e">
        <f>VLOOKUP(A125,Data!E:R,14,0)</f>
        <v>#N/A</v>
      </c>
      <c r="E125" t="e">
        <f t="shared" si="1"/>
        <v>#N/A</v>
      </c>
      <c r="F125" t="e">
        <f>+VLOOKUP(A125,Data!E:O,11,0)</f>
        <v>#N/A</v>
      </c>
      <c r="G125" t="e">
        <f>VLOOKUP(Table1[[#This Row],[Ship ID]],Data!E:H,4,0)</f>
        <v>#N/A</v>
      </c>
      <c r="H125" t="e">
        <f>+VLOOKUP(Table1[[#This Row],[Ship ID]],Data!E:J,6,0)</f>
        <v>#N/A</v>
      </c>
      <c r="I125" s="7" t="e">
        <f>VLOOKUP(Table1[[#This Row],[Ship ID]],Data!E:AB,24,0)</f>
        <v>#N/A</v>
      </c>
    </row>
    <row r="126" spans="1:9" x14ac:dyDescent="0.25">
      <c r="A126" s="1">
        <f>+Data!E126</f>
        <v>0</v>
      </c>
      <c r="B126" t="e">
        <f>VLOOKUP(A126,Data!E:G,3,0)</f>
        <v>#N/A</v>
      </c>
      <c r="C126" t="e">
        <f>VLOOKUP(A126,Data!E:N,10,0)</f>
        <v>#N/A</v>
      </c>
      <c r="D126" s="3" t="e">
        <f>VLOOKUP(A126,Data!E:R,14,0)</f>
        <v>#N/A</v>
      </c>
      <c r="E126" t="e">
        <f t="shared" si="1"/>
        <v>#N/A</v>
      </c>
      <c r="F126" t="e">
        <f>+VLOOKUP(A126,Data!E:O,11,0)</f>
        <v>#N/A</v>
      </c>
      <c r="G126" t="e">
        <f>VLOOKUP(Table1[[#This Row],[Ship ID]],Data!E:H,4,0)</f>
        <v>#N/A</v>
      </c>
      <c r="H126" t="e">
        <f>+VLOOKUP(Table1[[#This Row],[Ship ID]],Data!E:J,6,0)</f>
        <v>#N/A</v>
      </c>
      <c r="I126" s="7" t="e">
        <f>VLOOKUP(Table1[[#This Row],[Ship ID]],Data!E:AB,24,0)</f>
        <v>#N/A</v>
      </c>
    </row>
    <row r="127" spans="1:9" x14ac:dyDescent="0.25">
      <c r="A127" s="1">
        <f>+Data!E127</f>
        <v>0</v>
      </c>
      <c r="B127" t="e">
        <f>VLOOKUP(A127,Data!E:G,3,0)</f>
        <v>#N/A</v>
      </c>
      <c r="C127" t="e">
        <f>VLOOKUP(A127,Data!E:N,10,0)</f>
        <v>#N/A</v>
      </c>
      <c r="D127" s="3" t="e">
        <f>VLOOKUP(A127,Data!E:R,14,0)</f>
        <v>#N/A</v>
      </c>
      <c r="E127" t="e">
        <f t="shared" si="1"/>
        <v>#N/A</v>
      </c>
      <c r="F127" t="e">
        <f>+VLOOKUP(A127,Data!E:O,11,0)</f>
        <v>#N/A</v>
      </c>
      <c r="G127" t="e">
        <f>VLOOKUP(Table1[[#This Row],[Ship ID]],Data!E:H,4,0)</f>
        <v>#N/A</v>
      </c>
      <c r="H127" t="e">
        <f>+VLOOKUP(Table1[[#This Row],[Ship ID]],Data!E:J,6,0)</f>
        <v>#N/A</v>
      </c>
      <c r="I127" s="7" t="e">
        <f>VLOOKUP(Table1[[#This Row],[Ship ID]],Data!E:AB,24,0)</f>
        <v>#N/A</v>
      </c>
    </row>
    <row r="128" spans="1:9" x14ac:dyDescent="0.25">
      <c r="A128" s="1">
        <f>+Data!E128</f>
        <v>0</v>
      </c>
      <c r="B128" t="e">
        <f>VLOOKUP(A128,Data!E:G,3,0)</f>
        <v>#N/A</v>
      </c>
      <c r="C128" t="e">
        <f>VLOOKUP(A128,Data!E:N,10,0)</f>
        <v>#N/A</v>
      </c>
      <c r="D128" s="3" t="e">
        <f>VLOOKUP(A128,Data!E:R,14,0)</f>
        <v>#N/A</v>
      </c>
      <c r="E128" t="e">
        <f t="shared" si="1"/>
        <v>#N/A</v>
      </c>
      <c r="F128" t="e">
        <f>+VLOOKUP(A128,Data!E:O,11,0)</f>
        <v>#N/A</v>
      </c>
      <c r="G128" t="e">
        <f>VLOOKUP(Table1[[#This Row],[Ship ID]],Data!E:H,4,0)</f>
        <v>#N/A</v>
      </c>
      <c r="H128" t="e">
        <f>+VLOOKUP(Table1[[#This Row],[Ship ID]],Data!E:J,6,0)</f>
        <v>#N/A</v>
      </c>
      <c r="I128" s="7" t="e">
        <f>VLOOKUP(Table1[[#This Row],[Ship ID]],Data!E:AB,24,0)</f>
        <v>#N/A</v>
      </c>
    </row>
    <row r="129" spans="1:9" x14ac:dyDescent="0.25">
      <c r="A129" s="1">
        <f>+Data!E129</f>
        <v>0</v>
      </c>
      <c r="B129" t="e">
        <f>VLOOKUP(A129,Data!E:G,3,0)</f>
        <v>#N/A</v>
      </c>
      <c r="C129" t="e">
        <f>VLOOKUP(A129,Data!E:N,10,0)</f>
        <v>#N/A</v>
      </c>
      <c r="D129" s="3" t="e">
        <f>VLOOKUP(A129,Data!E:R,14,0)</f>
        <v>#N/A</v>
      </c>
      <c r="E129" t="e">
        <f t="shared" si="1"/>
        <v>#N/A</v>
      </c>
      <c r="F129" t="e">
        <f>+VLOOKUP(A129,Data!E:O,11,0)</f>
        <v>#N/A</v>
      </c>
      <c r="G129" t="e">
        <f>VLOOKUP(Table1[[#This Row],[Ship ID]],Data!E:H,4,0)</f>
        <v>#N/A</v>
      </c>
      <c r="H129" t="e">
        <f>+VLOOKUP(Table1[[#This Row],[Ship ID]],Data!E:J,6,0)</f>
        <v>#N/A</v>
      </c>
      <c r="I129" s="7" t="e">
        <f>VLOOKUP(Table1[[#This Row],[Ship ID]],Data!E:AB,24,0)</f>
        <v>#N/A</v>
      </c>
    </row>
    <row r="130" spans="1:9" x14ac:dyDescent="0.25">
      <c r="A130" s="1">
        <f>+Data!E130</f>
        <v>0</v>
      </c>
      <c r="B130" t="e">
        <f>VLOOKUP(A130,Data!E:G,3,0)</f>
        <v>#N/A</v>
      </c>
      <c r="C130" t="e">
        <f>VLOOKUP(A130,Data!E:N,10,0)</f>
        <v>#N/A</v>
      </c>
      <c r="D130" s="3" t="e">
        <f>VLOOKUP(A130,Data!E:R,14,0)</f>
        <v>#N/A</v>
      </c>
      <c r="E130" t="e">
        <f t="shared" si="1"/>
        <v>#N/A</v>
      </c>
      <c r="F130" t="e">
        <f>+VLOOKUP(A130,Data!E:O,11,0)</f>
        <v>#N/A</v>
      </c>
      <c r="G130" t="e">
        <f>VLOOKUP(Table1[[#This Row],[Ship ID]],Data!E:H,4,0)</f>
        <v>#N/A</v>
      </c>
      <c r="H130" t="e">
        <f>+VLOOKUP(Table1[[#This Row],[Ship ID]],Data!E:J,6,0)</f>
        <v>#N/A</v>
      </c>
      <c r="I130" s="7" t="e">
        <f>VLOOKUP(Table1[[#This Row],[Ship ID]],Data!E:AB,24,0)</f>
        <v>#N/A</v>
      </c>
    </row>
    <row r="131" spans="1:9" x14ac:dyDescent="0.25">
      <c r="A131" s="1">
        <f>+Data!E131</f>
        <v>0</v>
      </c>
      <c r="B131" t="e">
        <f>VLOOKUP(A131,Data!E:G,3,0)</f>
        <v>#N/A</v>
      </c>
      <c r="C131" t="e">
        <f>VLOOKUP(A131,Data!E:N,10,0)</f>
        <v>#N/A</v>
      </c>
      <c r="D131" s="3" t="e">
        <f>VLOOKUP(A131,Data!E:R,14,0)</f>
        <v>#N/A</v>
      </c>
      <c r="E131" t="e">
        <f t="shared" ref="E131:E173" si="2">IF(D131&lt;0.54,"Matin","Après-midi")</f>
        <v>#N/A</v>
      </c>
      <c r="F131" t="e">
        <f>+VLOOKUP(A131,Data!E:O,11,0)</f>
        <v>#N/A</v>
      </c>
      <c r="G131" t="e">
        <f>VLOOKUP(Table1[[#This Row],[Ship ID]],Data!E:H,4,0)</f>
        <v>#N/A</v>
      </c>
      <c r="H131" t="e">
        <f>+VLOOKUP(Table1[[#This Row],[Ship ID]],Data!E:J,6,0)</f>
        <v>#N/A</v>
      </c>
      <c r="I131" s="7" t="e">
        <f>VLOOKUP(Table1[[#This Row],[Ship ID]],Data!E:AB,24,0)</f>
        <v>#N/A</v>
      </c>
    </row>
    <row r="132" spans="1:9" x14ac:dyDescent="0.25">
      <c r="A132" s="1">
        <f>+Data!E132</f>
        <v>0</v>
      </c>
      <c r="B132" t="e">
        <f>VLOOKUP(A132,Data!E:G,3,0)</f>
        <v>#N/A</v>
      </c>
      <c r="C132" t="e">
        <f>VLOOKUP(A132,Data!E:N,10,0)</f>
        <v>#N/A</v>
      </c>
      <c r="D132" s="3" t="e">
        <f>VLOOKUP(A132,Data!E:R,14,0)</f>
        <v>#N/A</v>
      </c>
      <c r="E132" t="e">
        <f t="shared" si="2"/>
        <v>#N/A</v>
      </c>
      <c r="F132" t="e">
        <f>+VLOOKUP(A132,Data!E:O,11,0)</f>
        <v>#N/A</v>
      </c>
      <c r="G132" t="e">
        <f>VLOOKUP(Table1[[#This Row],[Ship ID]],Data!E:H,4,0)</f>
        <v>#N/A</v>
      </c>
      <c r="H132" t="e">
        <f>+VLOOKUP(Table1[[#This Row],[Ship ID]],Data!E:J,6,0)</f>
        <v>#N/A</v>
      </c>
      <c r="I132" s="7" t="e">
        <f>VLOOKUP(Table1[[#This Row],[Ship ID]],Data!E:AB,24,0)</f>
        <v>#N/A</v>
      </c>
    </row>
    <row r="133" spans="1:9" x14ac:dyDescent="0.25">
      <c r="A133" s="1">
        <f>+Data!E133</f>
        <v>0</v>
      </c>
      <c r="B133" t="e">
        <f>VLOOKUP(A133,Data!E:G,3,0)</f>
        <v>#N/A</v>
      </c>
      <c r="C133" t="e">
        <f>VLOOKUP(A133,Data!E:N,10,0)</f>
        <v>#N/A</v>
      </c>
      <c r="D133" s="3" t="e">
        <f>VLOOKUP(A133,Data!E:R,14,0)</f>
        <v>#N/A</v>
      </c>
      <c r="E133" t="e">
        <f t="shared" si="2"/>
        <v>#N/A</v>
      </c>
      <c r="F133" t="e">
        <f>+VLOOKUP(A133,Data!E:O,11,0)</f>
        <v>#N/A</v>
      </c>
      <c r="G133" t="e">
        <f>VLOOKUP(Table1[[#This Row],[Ship ID]],Data!E:H,4,0)</f>
        <v>#N/A</v>
      </c>
      <c r="H133" t="e">
        <f>+VLOOKUP(Table1[[#This Row],[Ship ID]],Data!E:J,6,0)</f>
        <v>#N/A</v>
      </c>
      <c r="I133" s="7" t="e">
        <f>VLOOKUP(Table1[[#This Row],[Ship ID]],Data!E:AB,24,0)</f>
        <v>#N/A</v>
      </c>
    </row>
    <row r="134" spans="1:9" x14ac:dyDescent="0.25">
      <c r="A134" s="1">
        <f>+Data!E134</f>
        <v>0</v>
      </c>
      <c r="B134" t="e">
        <f>VLOOKUP(A134,Data!E:G,3,0)</f>
        <v>#N/A</v>
      </c>
      <c r="C134" t="e">
        <f>VLOOKUP(A134,Data!E:N,10,0)</f>
        <v>#N/A</v>
      </c>
      <c r="D134" s="3" t="e">
        <f>VLOOKUP(A134,Data!E:R,14,0)</f>
        <v>#N/A</v>
      </c>
      <c r="E134" t="e">
        <f t="shared" si="2"/>
        <v>#N/A</v>
      </c>
      <c r="F134" t="e">
        <f>+VLOOKUP(A134,Data!E:O,11,0)</f>
        <v>#N/A</v>
      </c>
      <c r="G134" t="e">
        <f>VLOOKUP(Table1[[#This Row],[Ship ID]],Data!E:H,4,0)</f>
        <v>#N/A</v>
      </c>
      <c r="H134" t="e">
        <f>+VLOOKUP(Table1[[#This Row],[Ship ID]],Data!E:J,6,0)</f>
        <v>#N/A</v>
      </c>
      <c r="I134" s="7" t="e">
        <f>VLOOKUP(Table1[[#This Row],[Ship ID]],Data!E:AB,24,0)</f>
        <v>#N/A</v>
      </c>
    </row>
    <row r="135" spans="1:9" x14ac:dyDescent="0.25">
      <c r="A135" s="1">
        <f>+Data!E135</f>
        <v>0</v>
      </c>
      <c r="B135" t="e">
        <f>VLOOKUP(A135,Data!E:G,3,0)</f>
        <v>#N/A</v>
      </c>
      <c r="C135" t="e">
        <f>VLOOKUP(A135,Data!E:N,10,0)</f>
        <v>#N/A</v>
      </c>
      <c r="D135" s="3" t="e">
        <f>VLOOKUP(A135,Data!E:R,14,0)</f>
        <v>#N/A</v>
      </c>
      <c r="E135" t="e">
        <f t="shared" si="2"/>
        <v>#N/A</v>
      </c>
      <c r="F135" t="e">
        <f>+VLOOKUP(A135,Data!E:O,11,0)</f>
        <v>#N/A</v>
      </c>
      <c r="G135" t="e">
        <f>VLOOKUP(Table1[[#This Row],[Ship ID]],Data!E:H,4,0)</f>
        <v>#N/A</v>
      </c>
      <c r="H135" t="e">
        <f>+VLOOKUP(Table1[[#This Row],[Ship ID]],Data!E:J,6,0)</f>
        <v>#N/A</v>
      </c>
      <c r="I135" s="7" t="e">
        <f>VLOOKUP(Table1[[#This Row],[Ship ID]],Data!E:AB,24,0)</f>
        <v>#N/A</v>
      </c>
    </row>
    <row r="136" spans="1:9" x14ac:dyDescent="0.25">
      <c r="A136" s="1">
        <f>+Data!E136</f>
        <v>0</v>
      </c>
      <c r="B136" t="e">
        <f>VLOOKUP(A136,Data!E:G,3,0)</f>
        <v>#N/A</v>
      </c>
      <c r="C136" t="e">
        <f>VLOOKUP(A136,Data!E:N,10,0)</f>
        <v>#N/A</v>
      </c>
      <c r="D136" s="3" t="e">
        <f>VLOOKUP(A136,Data!E:R,14,0)</f>
        <v>#N/A</v>
      </c>
      <c r="E136" t="e">
        <f t="shared" si="2"/>
        <v>#N/A</v>
      </c>
      <c r="F136" t="e">
        <f>+VLOOKUP(A136,Data!E:O,11,0)</f>
        <v>#N/A</v>
      </c>
      <c r="G136" t="e">
        <f>VLOOKUP(Table1[[#This Row],[Ship ID]],Data!E:H,4,0)</f>
        <v>#N/A</v>
      </c>
      <c r="H136" t="e">
        <f>+VLOOKUP(Table1[[#This Row],[Ship ID]],Data!E:J,6,0)</f>
        <v>#N/A</v>
      </c>
      <c r="I136" s="7" t="e">
        <f>VLOOKUP(Table1[[#This Row],[Ship ID]],Data!E:AB,24,0)</f>
        <v>#N/A</v>
      </c>
    </row>
    <row r="137" spans="1:9" x14ac:dyDescent="0.25">
      <c r="A137" s="1">
        <f>+Data!E137</f>
        <v>0</v>
      </c>
      <c r="B137" t="e">
        <f>VLOOKUP(A137,Data!E:G,3,0)</f>
        <v>#N/A</v>
      </c>
      <c r="C137" t="e">
        <f>VLOOKUP(A137,Data!E:N,10,0)</f>
        <v>#N/A</v>
      </c>
      <c r="D137" s="3" t="e">
        <f>VLOOKUP(A137,Data!E:R,14,0)</f>
        <v>#N/A</v>
      </c>
      <c r="E137" t="e">
        <f t="shared" si="2"/>
        <v>#N/A</v>
      </c>
      <c r="F137" t="e">
        <f>+VLOOKUP(A137,Data!E:O,11,0)</f>
        <v>#N/A</v>
      </c>
      <c r="G137" t="e">
        <f>VLOOKUP(Table1[[#This Row],[Ship ID]],Data!E:H,4,0)</f>
        <v>#N/A</v>
      </c>
      <c r="H137" t="e">
        <f>+VLOOKUP(Table1[[#This Row],[Ship ID]],Data!E:J,6,0)</f>
        <v>#N/A</v>
      </c>
      <c r="I137" s="7" t="e">
        <f>VLOOKUP(Table1[[#This Row],[Ship ID]],Data!E:AB,24,0)</f>
        <v>#N/A</v>
      </c>
    </row>
    <row r="138" spans="1:9" x14ac:dyDescent="0.25">
      <c r="A138" s="1">
        <f>+Data!E138</f>
        <v>0</v>
      </c>
      <c r="B138" t="e">
        <f>VLOOKUP(A138,Data!E:G,3,0)</f>
        <v>#N/A</v>
      </c>
      <c r="C138" t="e">
        <f>VLOOKUP(A138,Data!E:N,10,0)</f>
        <v>#N/A</v>
      </c>
      <c r="D138" s="3" t="e">
        <f>VLOOKUP(A138,Data!E:R,14,0)</f>
        <v>#N/A</v>
      </c>
      <c r="E138" t="e">
        <f t="shared" si="2"/>
        <v>#N/A</v>
      </c>
      <c r="F138" t="e">
        <f>+VLOOKUP(A138,Data!E:O,11,0)</f>
        <v>#N/A</v>
      </c>
      <c r="G138" t="e">
        <f>VLOOKUP(Table1[[#This Row],[Ship ID]],Data!E:H,4,0)</f>
        <v>#N/A</v>
      </c>
      <c r="H138" t="e">
        <f>+VLOOKUP(Table1[[#This Row],[Ship ID]],Data!E:J,6,0)</f>
        <v>#N/A</v>
      </c>
      <c r="I138" s="7" t="e">
        <f>VLOOKUP(Table1[[#This Row],[Ship ID]],Data!E:AB,24,0)</f>
        <v>#N/A</v>
      </c>
    </row>
    <row r="139" spans="1:9" x14ac:dyDescent="0.25">
      <c r="A139" s="1">
        <f>+Data!E139</f>
        <v>0</v>
      </c>
      <c r="B139" t="e">
        <f>VLOOKUP(A139,Data!E:G,3,0)</f>
        <v>#N/A</v>
      </c>
      <c r="C139" t="e">
        <f>VLOOKUP(A139,Data!E:N,10,0)</f>
        <v>#N/A</v>
      </c>
      <c r="D139" s="3" t="e">
        <f>VLOOKUP(A139,Data!E:R,14,0)</f>
        <v>#N/A</v>
      </c>
      <c r="E139" t="e">
        <f t="shared" si="2"/>
        <v>#N/A</v>
      </c>
      <c r="F139" t="e">
        <f>+VLOOKUP(A139,Data!E:O,11,0)</f>
        <v>#N/A</v>
      </c>
      <c r="G139" t="e">
        <f>VLOOKUP(Table1[[#This Row],[Ship ID]],Data!E:H,4,0)</f>
        <v>#N/A</v>
      </c>
      <c r="H139" t="e">
        <f>+VLOOKUP(Table1[[#This Row],[Ship ID]],Data!E:J,6,0)</f>
        <v>#N/A</v>
      </c>
      <c r="I139" s="7" t="e">
        <f>VLOOKUP(Table1[[#This Row],[Ship ID]],Data!E:AB,24,0)</f>
        <v>#N/A</v>
      </c>
    </row>
    <row r="140" spans="1:9" x14ac:dyDescent="0.25">
      <c r="A140" s="1">
        <f>+Data!E140</f>
        <v>0</v>
      </c>
      <c r="B140" t="e">
        <f>VLOOKUP(A140,Data!E:G,3,0)</f>
        <v>#N/A</v>
      </c>
      <c r="C140" t="e">
        <f>VLOOKUP(A140,Data!E:N,10,0)</f>
        <v>#N/A</v>
      </c>
      <c r="D140" s="3" t="e">
        <f>VLOOKUP(A140,Data!E:R,14,0)</f>
        <v>#N/A</v>
      </c>
      <c r="E140" t="e">
        <f t="shared" si="2"/>
        <v>#N/A</v>
      </c>
      <c r="F140" t="e">
        <f>+VLOOKUP(A140,Data!E:O,11,0)</f>
        <v>#N/A</v>
      </c>
      <c r="G140" t="e">
        <f>VLOOKUP(Table1[[#This Row],[Ship ID]],Data!E:H,4,0)</f>
        <v>#N/A</v>
      </c>
      <c r="H140" t="e">
        <f>+VLOOKUP(Table1[[#This Row],[Ship ID]],Data!E:J,6,0)</f>
        <v>#N/A</v>
      </c>
      <c r="I140" s="7" t="e">
        <f>VLOOKUP(Table1[[#This Row],[Ship ID]],Data!E:AB,24,0)</f>
        <v>#N/A</v>
      </c>
    </row>
    <row r="141" spans="1:9" x14ac:dyDescent="0.25">
      <c r="A141" s="1">
        <f>+Data!E141</f>
        <v>0</v>
      </c>
      <c r="B141" t="e">
        <f>VLOOKUP(A141,Data!E:G,3,0)</f>
        <v>#N/A</v>
      </c>
      <c r="C141" t="e">
        <f>VLOOKUP(A141,Data!E:N,10,0)</f>
        <v>#N/A</v>
      </c>
      <c r="D141" s="3" t="e">
        <f>VLOOKUP(A141,Data!E:R,14,0)</f>
        <v>#N/A</v>
      </c>
      <c r="E141" t="e">
        <f t="shared" si="2"/>
        <v>#N/A</v>
      </c>
      <c r="F141" t="e">
        <f>+VLOOKUP(A141,Data!E:O,11,0)</f>
        <v>#N/A</v>
      </c>
      <c r="G141" t="e">
        <f>VLOOKUP(Table1[[#This Row],[Ship ID]],Data!E:H,4,0)</f>
        <v>#N/A</v>
      </c>
      <c r="H141" t="e">
        <f>+VLOOKUP(Table1[[#This Row],[Ship ID]],Data!E:J,6,0)</f>
        <v>#N/A</v>
      </c>
      <c r="I141" s="7" t="e">
        <f>VLOOKUP(Table1[[#This Row],[Ship ID]],Data!E:AB,24,0)</f>
        <v>#N/A</v>
      </c>
    </row>
    <row r="142" spans="1:9" x14ac:dyDescent="0.25">
      <c r="A142" s="1">
        <f>+Data!E142</f>
        <v>0</v>
      </c>
      <c r="B142" t="e">
        <f>VLOOKUP(A142,Data!E:G,3,0)</f>
        <v>#N/A</v>
      </c>
      <c r="C142" t="e">
        <f>VLOOKUP(A142,Data!E:N,10,0)</f>
        <v>#N/A</v>
      </c>
      <c r="D142" s="3" t="e">
        <f>VLOOKUP(A142,Data!E:R,14,0)</f>
        <v>#N/A</v>
      </c>
      <c r="E142" t="e">
        <f t="shared" si="2"/>
        <v>#N/A</v>
      </c>
      <c r="F142" t="e">
        <f>+VLOOKUP(A142,Data!E:O,11,0)</f>
        <v>#N/A</v>
      </c>
      <c r="G142" t="e">
        <f>VLOOKUP(Table1[[#This Row],[Ship ID]],Data!E:H,4,0)</f>
        <v>#N/A</v>
      </c>
      <c r="H142" t="e">
        <f>+VLOOKUP(Table1[[#This Row],[Ship ID]],Data!E:J,6,0)</f>
        <v>#N/A</v>
      </c>
      <c r="I142" s="7" t="e">
        <f>VLOOKUP(Table1[[#This Row],[Ship ID]],Data!E:AB,24,0)</f>
        <v>#N/A</v>
      </c>
    </row>
    <row r="143" spans="1:9" x14ac:dyDescent="0.25">
      <c r="A143" s="1">
        <f>+Data!E143</f>
        <v>0</v>
      </c>
      <c r="B143" t="e">
        <f>VLOOKUP(A143,Data!E:G,3,0)</f>
        <v>#N/A</v>
      </c>
      <c r="C143" t="e">
        <f>VLOOKUP(A143,Data!E:N,10,0)</f>
        <v>#N/A</v>
      </c>
      <c r="D143" s="3" t="e">
        <f>VLOOKUP(A143,Data!E:R,14,0)</f>
        <v>#N/A</v>
      </c>
      <c r="E143" t="e">
        <f t="shared" si="2"/>
        <v>#N/A</v>
      </c>
      <c r="F143" t="e">
        <f>+VLOOKUP(A143,Data!E:O,11,0)</f>
        <v>#N/A</v>
      </c>
      <c r="G143" t="e">
        <f>VLOOKUP(Table1[[#This Row],[Ship ID]],Data!E:H,4,0)</f>
        <v>#N/A</v>
      </c>
      <c r="H143" t="e">
        <f>+VLOOKUP(Table1[[#This Row],[Ship ID]],Data!E:J,6,0)</f>
        <v>#N/A</v>
      </c>
      <c r="I143" s="7" t="e">
        <f>VLOOKUP(Table1[[#This Row],[Ship ID]],Data!E:AB,24,0)</f>
        <v>#N/A</v>
      </c>
    </row>
    <row r="144" spans="1:9" x14ac:dyDescent="0.25">
      <c r="A144" s="1">
        <f>+Data!E144</f>
        <v>0</v>
      </c>
      <c r="B144" t="e">
        <f>VLOOKUP(A144,Data!E:G,3,0)</f>
        <v>#N/A</v>
      </c>
      <c r="C144" t="e">
        <f>VLOOKUP(A144,Data!E:N,10,0)</f>
        <v>#N/A</v>
      </c>
      <c r="D144" s="3" t="e">
        <f>VLOOKUP(A144,Data!E:R,14,0)</f>
        <v>#N/A</v>
      </c>
      <c r="E144" t="e">
        <f t="shared" si="2"/>
        <v>#N/A</v>
      </c>
      <c r="F144" t="e">
        <f>+VLOOKUP(A144,Data!E:O,11,0)</f>
        <v>#N/A</v>
      </c>
      <c r="G144" t="e">
        <f>VLOOKUP(Table1[[#This Row],[Ship ID]],Data!E:H,4,0)</f>
        <v>#N/A</v>
      </c>
      <c r="H144" t="e">
        <f>+VLOOKUP(Table1[[#This Row],[Ship ID]],Data!E:J,6,0)</f>
        <v>#N/A</v>
      </c>
      <c r="I144" s="7" t="e">
        <f>VLOOKUP(Table1[[#This Row],[Ship ID]],Data!E:AB,24,0)</f>
        <v>#N/A</v>
      </c>
    </row>
    <row r="145" spans="1:9" x14ac:dyDescent="0.25">
      <c r="A145" s="1">
        <f>+Data!E145</f>
        <v>0</v>
      </c>
      <c r="B145" t="e">
        <f>VLOOKUP(A145,Data!E:G,3,0)</f>
        <v>#N/A</v>
      </c>
      <c r="C145" t="e">
        <f>VLOOKUP(A145,Data!E:N,10,0)</f>
        <v>#N/A</v>
      </c>
      <c r="D145" s="3" t="e">
        <f>VLOOKUP(A145,Data!E:R,14,0)</f>
        <v>#N/A</v>
      </c>
      <c r="E145" t="e">
        <f t="shared" si="2"/>
        <v>#N/A</v>
      </c>
      <c r="F145" t="e">
        <f>+VLOOKUP(A145,Data!E:O,11,0)</f>
        <v>#N/A</v>
      </c>
      <c r="G145" t="e">
        <f>VLOOKUP(Table1[[#This Row],[Ship ID]],Data!E:H,4,0)</f>
        <v>#N/A</v>
      </c>
      <c r="H145" t="e">
        <f>+VLOOKUP(Table1[[#This Row],[Ship ID]],Data!E:J,6,0)</f>
        <v>#N/A</v>
      </c>
      <c r="I145" s="7" t="e">
        <f>VLOOKUP(Table1[[#This Row],[Ship ID]],Data!E:AB,24,0)</f>
        <v>#N/A</v>
      </c>
    </row>
    <row r="146" spans="1:9" x14ac:dyDescent="0.25">
      <c r="A146" s="1">
        <f>+Data!E146</f>
        <v>0</v>
      </c>
      <c r="B146" t="e">
        <f>VLOOKUP(A146,Data!E:G,3,0)</f>
        <v>#N/A</v>
      </c>
      <c r="C146" t="e">
        <f>VLOOKUP(A146,Data!E:N,10,0)</f>
        <v>#N/A</v>
      </c>
      <c r="D146" s="3" t="e">
        <f>VLOOKUP(A146,Data!E:R,14,0)</f>
        <v>#N/A</v>
      </c>
      <c r="E146" t="e">
        <f t="shared" si="2"/>
        <v>#N/A</v>
      </c>
      <c r="F146" t="e">
        <f>+VLOOKUP(A146,Data!E:O,11,0)</f>
        <v>#N/A</v>
      </c>
      <c r="G146" t="e">
        <f>VLOOKUP(Table1[[#This Row],[Ship ID]],Data!E:H,4,0)</f>
        <v>#N/A</v>
      </c>
      <c r="H146" t="e">
        <f>+VLOOKUP(Table1[[#This Row],[Ship ID]],Data!E:J,6,0)</f>
        <v>#N/A</v>
      </c>
      <c r="I146" s="7" t="e">
        <f>VLOOKUP(Table1[[#This Row],[Ship ID]],Data!E:AB,24,0)</f>
        <v>#N/A</v>
      </c>
    </row>
    <row r="147" spans="1:9" x14ac:dyDescent="0.25">
      <c r="A147" s="1">
        <f>+Data!E147</f>
        <v>0</v>
      </c>
      <c r="B147" t="e">
        <f>VLOOKUP(A147,Data!E:G,3,0)</f>
        <v>#N/A</v>
      </c>
      <c r="C147" t="e">
        <f>VLOOKUP(A147,Data!E:N,10,0)</f>
        <v>#N/A</v>
      </c>
      <c r="D147" s="3" t="e">
        <f>VLOOKUP(A147,Data!E:R,14,0)</f>
        <v>#N/A</v>
      </c>
      <c r="E147" t="e">
        <f t="shared" si="2"/>
        <v>#N/A</v>
      </c>
      <c r="F147" t="e">
        <f>+VLOOKUP(A147,Data!E:O,11,0)</f>
        <v>#N/A</v>
      </c>
      <c r="G147" t="e">
        <f>VLOOKUP(Table1[[#This Row],[Ship ID]],Data!E:H,4,0)</f>
        <v>#N/A</v>
      </c>
      <c r="H147" t="e">
        <f>+VLOOKUP(Table1[[#This Row],[Ship ID]],Data!E:J,6,0)</f>
        <v>#N/A</v>
      </c>
      <c r="I147" s="7" t="e">
        <f>VLOOKUP(Table1[[#This Row],[Ship ID]],Data!E:AB,24,0)</f>
        <v>#N/A</v>
      </c>
    </row>
    <row r="148" spans="1:9" x14ac:dyDescent="0.25">
      <c r="A148" s="1">
        <f>+Data!E148</f>
        <v>0</v>
      </c>
      <c r="B148" t="e">
        <f>VLOOKUP(A148,Data!E:G,3,0)</f>
        <v>#N/A</v>
      </c>
      <c r="C148" t="e">
        <f>VLOOKUP(A148,Data!E:N,10,0)</f>
        <v>#N/A</v>
      </c>
      <c r="D148" s="3" t="e">
        <f>VLOOKUP(A148,Data!E:R,14,0)</f>
        <v>#N/A</v>
      </c>
      <c r="E148" t="e">
        <f t="shared" si="2"/>
        <v>#N/A</v>
      </c>
      <c r="F148" t="e">
        <f>+VLOOKUP(A148,Data!E:O,11,0)</f>
        <v>#N/A</v>
      </c>
      <c r="G148" t="e">
        <f>VLOOKUP(Table1[[#This Row],[Ship ID]],Data!E:H,4,0)</f>
        <v>#N/A</v>
      </c>
      <c r="H148" t="e">
        <f>+VLOOKUP(Table1[[#This Row],[Ship ID]],Data!E:J,6,0)</f>
        <v>#N/A</v>
      </c>
      <c r="I148" s="7" t="e">
        <f>VLOOKUP(Table1[[#This Row],[Ship ID]],Data!E:AB,24,0)</f>
        <v>#N/A</v>
      </c>
    </row>
    <row r="149" spans="1:9" x14ac:dyDescent="0.25">
      <c r="A149" s="1">
        <f>+Data!E149</f>
        <v>0</v>
      </c>
      <c r="B149" t="e">
        <f>VLOOKUP(A149,Data!E:G,3,0)</f>
        <v>#N/A</v>
      </c>
      <c r="C149" t="e">
        <f>VLOOKUP(A149,Data!E:N,10,0)</f>
        <v>#N/A</v>
      </c>
      <c r="D149" s="3" t="e">
        <f>VLOOKUP(A149,Data!E:R,14,0)</f>
        <v>#N/A</v>
      </c>
      <c r="E149" t="e">
        <f t="shared" si="2"/>
        <v>#N/A</v>
      </c>
      <c r="F149" t="e">
        <f>+VLOOKUP(A149,Data!E:O,11,0)</f>
        <v>#N/A</v>
      </c>
      <c r="G149" t="e">
        <f>VLOOKUP(Table1[[#This Row],[Ship ID]],Data!E:H,4,0)</f>
        <v>#N/A</v>
      </c>
      <c r="H149" t="e">
        <f>+VLOOKUP(Table1[[#This Row],[Ship ID]],Data!E:J,6,0)</f>
        <v>#N/A</v>
      </c>
      <c r="I149" s="7" t="e">
        <f>VLOOKUP(Table1[[#This Row],[Ship ID]],Data!E:AB,24,0)</f>
        <v>#N/A</v>
      </c>
    </row>
    <row r="150" spans="1:9" x14ac:dyDescent="0.25">
      <c r="A150" s="1">
        <f>+Data!E150</f>
        <v>0</v>
      </c>
      <c r="B150" t="e">
        <f>VLOOKUP(A150,Data!E:G,3,0)</f>
        <v>#N/A</v>
      </c>
      <c r="C150" t="e">
        <f>VLOOKUP(A150,Data!E:N,10,0)</f>
        <v>#N/A</v>
      </c>
      <c r="D150" s="3" t="e">
        <f>VLOOKUP(A150,Data!E:R,14,0)</f>
        <v>#N/A</v>
      </c>
      <c r="E150" t="e">
        <f t="shared" si="2"/>
        <v>#N/A</v>
      </c>
      <c r="F150" t="e">
        <f>+VLOOKUP(A150,Data!E:O,11,0)</f>
        <v>#N/A</v>
      </c>
      <c r="G150" t="e">
        <f>VLOOKUP(Table1[[#This Row],[Ship ID]],Data!E:H,4,0)</f>
        <v>#N/A</v>
      </c>
      <c r="H150" t="e">
        <f>+VLOOKUP(Table1[[#This Row],[Ship ID]],Data!E:J,6,0)</f>
        <v>#N/A</v>
      </c>
      <c r="I150" s="7" t="e">
        <f>VLOOKUP(Table1[[#This Row],[Ship ID]],Data!E:AB,24,0)</f>
        <v>#N/A</v>
      </c>
    </row>
    <row r="151" spans="1:9" x14ac:dyDescent="0.25">
      <c r="A151" s="1">
        <f>+Data!E151</f>
        <v>0</v>
      </c>
      <c r="B151" t="e">
        <f>VLOOKUP(A151,Data!E:G,3,0)</f>
        <v>#N/A</v>
      </c>
      <c r="C151" t="e">
        <f>VLOOKUP(A151,Data!E:N,10,0)</f>
        <v>#N/A</v>
      </c>
      <c r="D151" s="3" t="e">
        <f>VLOOKUP(A151,Data!E:R,14,0)</f>
        <v>#N/A</v>
      </c>
      <c r="E151" t="e">
        <f t="shared" si="2"/>
        <v>#N/A</v>
      </c>
      <c r="F151" t="e">
        <f>+VLOOKUP(A151,Data!E:O,11,0)</f>
        <v>#N/A</v>
      </c>
      <c r="G151" t="e">
        <f>VLOOKUP(Table1[[#This Row],[Ship ID]],Data!E:H,4,0)</f>
        <v>#N/A</v>
      </c>
      <c r="H151" t="e">
        <f>+VLOOKUP(Table1[[#This Row],[Ship ID]],Data!E:J,6,0)</f>
        <v>#N/A</v>
      </c>
      <c r="I151" s="7" t="e">
        <f>VLOOKUP(Table1[[#This Row],[Ship ID]],Data!E:AB,24,0)</f>
        <v>#N/A</v>
      </c>
    </row>
    <row r="152" spans="1:9" x14ac:dyDescent="0.25">
      <c r="A152" s="1">
        <f>+Data!E152</f>
        <v>0</v>
      </c>
      <c r="B152" t="e">
        <f>VLOOKUP(A152,Data!E:G,3,0)</f>
        <v>#N/A</v>
      </c>
      <c r="C152" t="e">
        <f>VLOOKUP(A152,Data!E:N,10,0)</f>
        <v>#N/A</v>
      </c>
      <c r="D152" s="3" t="e">
        <f>VLOOKUP(A152,Data!E:R,14,0)</f>
        <v>#N/A</v>
      </c>
      <c r="E152" t="e">
        <f t="shared" si="2"/>
        <v>#N/A</v>
      </c>
      <c r="F152" t="e">
        <f>+VLOOKUP(A152,Data!E:O,11,0)</f>
        <v>#N/A</v>
      </c>
      <c r="G152" t="e">
        <f>VLOOKUP(Table1[[#This Row],[Ship ID]],Data!E:H,4,0)</f>
        <v>#N/A</v>
      </c>
      <c r="H152" t="e">
        <f>+VLOOKUP(Table1[[#This Row],[Ship ID]],Data!E:J,6,0)</f>
        <v>#N/A</v>
      </c>
      <c r="I152" s="7" t="e">
        <f>VLOOKUP(Table1[[#This Row],[Ship ID]],Data!E:AB,24,0)</f>
        <v>#N/A</v>
      </c>
    </row>
    <row r="153" spans="1:9" x14ac:dyDescent="0.25">
      <c r="A153" s="1">
        <f>+Data!E153</f>
        <v>0</v>
      </c>
      <c r="B153" t="e">
        <f>VLOOKUP(A153,Data!E:G,3,0)</f>
        <v>#N/A</v>
      </c>
      <c r="C153" t="e">
        <f>VLOOKUP(A153,Data!E:N,10,0)</f>
        <v>#N/A</v>
      </c>
      <c r="D153" s="3" t="e">
        <f>VLOOKUP(A153,Data!E:R,14,0)</f>
        <v>#N/A</v>
      </c>
      <c r="E153" t="e">
        <f t="shared" si="2"/>
        <v>#N/A</v>
      </c>
      <c r="F153" t="e">
        <f>+VLOOKUP(A153,Data!E:O,11,0)</f>
        <v>#N/A</v>
      </c>
      <c r="G153" t="e">
        <f>VLOOKUP(Table1[[#This Row],[Ship ID]],Data!E:H,4,0)</f>
        <v>#N/A</v>
      </c>
      <c r="H153" t="e">
        <f>+VLOOKUP(Table1[[#This Row],[Ship ID]],Data!E:J,6,0)</f>
        <v>#N/A</v>
      </c>
      <c r="I153" s="7" t="e">
        <f>VLOOKUP(Table1[[#This Row],[Ship ID]],Data!E:AB,24,0)</f>
        <v>#N/A</v>
      </c>
    </row>
    <row r="154" spans="1:9" x14ac:dyDescent="0.25">
      <c r="A154" s="1">
        <f>+Data!E154</f>
        <v>0</v>
      </c>
      <c r="B154" t="e">
        <f>VLOOKUP(A154,Data!E:G,3,0)</f>
        <v>#N/A</v>
      </c>
      <c r="C154" t="e">
        <f>VLOOKUP(A154,Data!E:N,10,0)</f>
        <v>#N/A</v>
      </c>
      <c r="D154" s="3" t="e">
        <f>VLOOKUP(A154,Data!E:R,14,0)</f>
        <v>#N/A</v>
      </c>
      <c r="E154" t="e">
        <f t="shared" si="2"/>
        <v>#N/A</v>
      </c>
      <c r="F154" t="e">
        <f>+VLOOKUP(A154,Data!E:O,11,0)</f>
        <v>#N/A</v>
      </c>
      <c r="G154" t="e">
        <f>VLOOKUP(Table1[[#This Row],[Ship ID]],Data!E:H,4,0)</f>
        <v>#N/A</v>
      </c>
      <c r="H154" t="e">
        <f>+VLOOKUP(Table1[[#This Row],[Ship ID]],Data!E:J,6,0)</f>
        <v>#N/A</v>
      </c>
      <c r="I154" s="7" t="e">
        <f>VLOOKUP(Table1[[#This Row],[Ship ID]],Data!E:AB,24,0)</f>
        <v>#N/A</v>
      </c>
    </row>
    <row r="155" spans="1:9" x14ac:dyDescent="0.25">
      <c r="A155" s="1">
        <f>+Data!E155</f>
        <v>0</v>
      </c>
      <c r="B155" t="e">
        <f>VLOOKUP(A155,Data!E:G,3,0)</f>
        <v>#N/A</v>
      </c>
      <c r="C155" t="e">
        <f>VLOOKUP(A155,Data!E:N,10,0)</f>
        <v>#N/A</v>
      </c>
      <c r="D155" s="3" t="e">
        <f>VLOOKUP(A155,Data!E:R,14,0)</f>
        <v>#N/A</v>
      </c>
      <c r="E155" t="e">
        <f t="shared" si="2"/>
        <v>#N/A</v>
      </c>
      <c r="F155" t="e">
        <f>+VLOOKUP(A155,Data!E:O,11,0)</f>
        <v>#N/A</v>
      </c>
      <c r="G155" t="e">
        <f>VLOOKUP(Table1[[#This Row],[Ship ID]],Data!E:H,4,0)</f>
        <v>#N/A</v>
      </c>
      <c r="H155" t="e">
        <f>+VLOOKUP(Table1[[#This Row],[Ship ID]],Data!E:J,6,0)</f>
        <v>#N/A</v>
      </c>
      <c r="I155" s="7" t="e">
        <f>VLOOKUP(Table1[[#This Row],[Ship ID]],Data!E:AB,24,0)</f>
        <v>#N/A</v>
      </c>
    </row>
    <row r="156" spans="1:9" x14ac:dyDescent="0.25">
      <c r="A156" s="1">
        <f>+Data!E156</f>
        <v>0</v>
      </c>
      <c r="B156" t="e">
        <f>VLOOKUP(A156,Data!E:G,3,0)</f>
        <v>#N/A</v>
      </c>
      <c r="C156" t="e">
        <f>VLOOKUP(A156,Data!E:N,10,0)</f>
        <v>#N/A</v>
      </c>
      <c r="D156" s="3" t="e">
        <f>VLOOKUP(A156,Data!E:R,14,0)</f>
        <v>#N/A</v>
      </c>
      <c r="E156" t="e">
        <f t="shared" si="2"/>
        <v>#N/A</v>
      </c>
      <c r="F156" t="e">
        <f>+VLOOKUP(A156,Data!E:O,11,0)</f>
        <v>#N/A</v>
      </c>
      <c r="G156" t="e">
        <f>VLOOKUP(Table1[[#This Row],[Ship ID]],Data!E:H,4,0)</f>
        <v>#N/A</v>
      </c>
      <c r="H156" t="e">
        <f>+VLOOKUP(Table1[[#This Row],[Ship ID]],Data!E:J,6,0)</f>
        <v>#N/A</v>
      </c>
      <c r="I156" s="7" t="e">
        <f>VLOOKUP(Table1[[#This Row],[Ship ID]],Data!E:AB,24,0)</f>
        <v>#N/A</v>
      </c>
    </row>
    <row r="157" spans="1:9" x14ac:dyDescent="0.25">
      <c r="A157" s="1">
        <f>+Data!E157</f>
        <v>0</v>
      </c>
      <c r="B157" t="e">
        <f>VLOOKUP(A157,Data!E:G,3,0)</f>
        <v>#N/A</v>
      </c>
      <c r="C157" t="e">
        <f>VLOOKUP(A157,Data!E:N,10,0)</f>
        <v>#N/A</v>
      </c>
      <c r="D157" s="3" t="e">
        <f>VLOOKUP(A157,Data!E:R,14,0)</f>
        <v>#N/A</v>
      </c>
      <c r="E157" t="e">
        <f t="shared" si="2"/>
        <v>#N/A</v>
      </c>
      <c r="F157" t="e">
        <f>+VLOOKUP(A157,Data!E:O,11,0)</f>
        <v>#N/A</v>
      </c>
      <c r="G157" t="e">
        <f>VLOOKUP(Table1[[#This Row],[Ship ID]],Data!E:H,4,0)</f>
        <v>#N/A</v>
      </c>
      <c r="H157" t="e">
        <f>+VLOOKUP(Table1[[#This Row],[Ship ID]],Data!E:J,6,0)</f>
        <v>#N/A</v>
      </c>
      <c r="I157" s="7" t="e">
        <f>VLOOKUP(Table1[[#This Row],[Ship ID]],Data!E:AB,24,0)</f>
        <v>#N/A</v>
      </c>
    </row>
    <row r="158" spans="1:9" x14ac:dyDescent="0.25">
      <c r="A158" s="1">
        <f>+Data!E158</f>
        <v>0</v>
      </c>
      <c r="B158" t="e">
        <f>VLOOKUP(A158,Data!E:G,3,0)</f>
        <v>#N/A</v>
      </c>
      <c r="C158" t="e">
        <f>VLOOKUP(A158,Data!E:N,10,0)</f>
        <v>#N/A</v>
      </c>
      <c r="D158" s="3" t="e">
        <f>VLOOKUP(A158,Data!E:R,14,0)</f>
        <v>#N/A</v>
      </c>
      <c r="E158" t="e">
        <f t="shared" si="2"/>
        <v>#N/A</v>
      </c>
      <c r="F158" t="e">
        <f>+VLOOKUP(A158,Data!E:O,11,0)</f>
        <v>#N/A</v>
      </c>
      <c r="G158" t="e">
        <f>VLOOKUP(Table1[[#This Row],[Ship ID]],Data!E:H,4,0)</f>
        <v>#N/A</v>
      </c>
      <c r="H158" t="e">
        <f>+VLOOKUP(Table1[[#This Row],[Ship ID]],Data!E:J,6,0)</f>
        <v>#N/A</v>
      </c>
      <c r="I158" s="7" t="e">
        <f>VLOOKUP(Table1[[#This Row],[Ship ID]],Data!E:AB,24,0)</f>
        <v>#N/A</v>
      </c>
    </row>
    <row r="159" spans="1:9" x14ac:dyDescent="0.25">
      <c r="A159" s="1">
        <f>+Data!E159</f>
        <v>0</v>
      </c>
      <c r="B159" t="e">
        <f>VLOOKUP(A159,Data!E:G,3,0)</f>
        <v>#N/A</v>
      </c>
      <c r="C159" t="e">
        <f>VLOOKUP(A159,Data!E:N,10,0)</f>
        <v>#N/A</v>
      </c>
      <c r="D159" s="3" t="e">
        <f>VLOOKUP(A159,Data!E:R,14,0)</f>
        <v>#N/A</v>
      </c>
      <c r="E159" t="e">
        <f t="shared" si="2"/>
        <v>#N/A</v>
      </c>
      <c r="F159" t="e">
        <f>+VLOOKUP(A159,Data!E:O,11,0)</f>
        <v>#N/A</v>
      </c>
      <c r="G159" t="e">
        <f>VLOOKUP(Table1[[#This Row],[Ship ID]],Data!E:H,4,0)</f>
        <v>#N/A</v>
      </c>
      <c r="H159" t="e">
        <f>+VLOOKUP(Table1[[#This Row],[Ship ID]],Data!E:J,6,0)</f>
        <v>#N/A</v>
      </c>
      <c r="I159" s="7" t="e">
        <f>VLOOKUP(Table1[[#This Row],[Ship ID]],Data!E:AB,24,0)</f>
        <v>#N/A</v>
      </c>
    </row>
    <row r="160" spans="1:9" x14ac:dyDescent="0.25">
      <c r="A160" s="1">
        <f>+Data!E160</f>
        <v>0</v>
      </c>
      <c r="B160" t="e">
        <f>VLOOKUP(A160,Data!E:G,3,0)</f>
        <v>#N/A</v>
      </c>
      <c r="C160" t="e">
        <f>VLOOKUP(A160,Data!E:N,10,0)</f>
        <v>#N/A</v>
      </c>
      <c r="D160" s="3" t="e">
        <f>VLOOKUP(A160,Data!E:R,14,0)</f>
        <v>#N/A</v>
      </c>
      <c r="E160" t="e">
        <f t="shared" si="2"/>
        <v>#N/A</v>
      </c>
      <c r="F160" t="e">
        <f>+VLOOKUP(A160,Data!E:O,11,0)</f>
        <v>#N/A</v>
      </c>
      <c r="G160" t="e">
        <f>VLOOKUP(Table1[[#This Row],[Ship ID]],Data!E:H,4,0)</f>
        <v>#N/A</v>
      </c>
      <c r="H160" t="e">
        <f>+VLOOKUP(Table1[[#This Row],[Ship ID]],Data!E:J,6,0)</f>
        <v>#N/A</v>
      </c>
      <c r="I160" s="7" t="e">
        <f>VLOOKUP(Table1[[#This Row],[Ship ID]],Data!E:AB,24,0)</f>
        <v>#N/A</v>
      </c>
    </row>
    <row r="161" spans="1:9" x14ac:dyDescent="0.25">
      <c r="A161" s="1">
        <f>+Data!E161</f>
        <v>0</v>
      </c>
      <c r="B161" t="e">
        <f>VLOOKUP(A161,Data!E:G,3,0)</f>
        <v>#N/A</v>
      </c>
      <c r="C161" t="e">
        <f>VLOOKUP(A161,Data!E:N,10,0)</f>
        <v>#N/A</v>
      </c>
      <c r="D161" s="3" t="e">
        <f>VLOOKUP(A161,Data!E:R,14,0)</f>
        <v>#N/A</v>
      </c>
      <c r="E161" t="e">
        <f t="shared" si="2"/>
        <v>#N/A</v>
      </c>
      <c r="F161" t="e">
        <f>+VLOOKUP(A161,Data!E:O,11,0)</f>
        <v>#N/A</v>
      </c>
      <c r="G161" t="e">
        <f>VLOOKUP(Table1[[#This Row],[Ship ID]],Data!E:H,4,0)</f>
        <v>#N/A</v>
      </c>
      <c r="H161" t="e">
        <f>+VLOOKUP(Table1[[#This Row],[Ship ID]],Data!E:J,6,0)</f>
        <v>#N/A</v>
      </c>
      <c r="I161" s="7" t="e">
        <f>VLOOKUP(Table1[[#This Row],[Ship ID]],Data!E:AB,24,0)</f>
        <v>#N/A</v>
      </c>
    </row>
    <row r="162" spans="1:9" x14ac:dyDescent="0.25">
      <c r="A162" s="1">
        <f>+Data!E162</f>
        <v>0</v>
      </c>
      <c r="B162" t="e">
        <f>VLOOKUP(A162,Data!E:G,3,0)</f>
        <v>#N/A</v>
      </c>
      <c r="C162" t="e">
        <f>VLOOKUP(A162,Data!E:N,10,0)</f>
        <v>#N/A</v>
      </c>
      <c r="D162" s="3" t="e">
        <f>VLOOKUP(A162,Data!E:R,14,0)</f>
        <v>#N/A</v>
      </c>
      <c r="E162" t="e">
        <f t="shared" si="2"/>
        <v>#N/A</v>
      </c>
      <c r="F162" t="e">
        <f>+VLOOKUP(A162,Data!E:O,11,0)</f>
        <v>#N/A</v>
      </c>
      <c r="G162" t="e">
        <f>VLOOKUP(Table1[[#This Row],[Ship ID]],Data!E:H,4,0)</f>
        <v>#N/A</v>
      </c>
      <c r="H162" t="e">
        <f>+VLOOKUP(Table1[[#This Row],[Ship ID]],Data!E:J,6,0)</f>
        <v>#N/A</v>
      </c>
      <c r="I162" s="7" t="e">
        <f>VLOOKUP(Table1[[#This Row],[Ship ID]],Data!E:AB,24,0)</f>
        <v>#N/A</v>
      </c>
    </row>
    <row r="163" spans="1:9" x14ac:dyDescent="0.25">
      <c r="A163" s="1">
        <f>+Data!E163</f>
        <v>0</v>
      </c>
      <c r="B163" t="e">
        <f>VLOOKUP(A163,Data!E:G,3,0)</f>
        <v>#N/A</v>
      </c>
      <c r="C163" t="e">
        <f>VLOOKUP(A163,Data!E:N,10,0)</f>
        <v>#N/A</v>
      </c>
      <c r="D163" s="3" t="e">
        <f>VLOOKUP(A163,Data!E:R,14,0)</f>
        <v>#N/A</v>
      </c>
      <c r="E163" t="e">
        <f t="shared" si="2"/>
        <v>#N/A</v>
      </c>
      <c r="F163" t="e">
        <f>+VLOOKUP(A163,Data!E:O,11,0)</f>
        <v>#N/A</v>
      </c>
      <c r="G163" t="e">
        <f>VLOOKUP(Table1[[#This Row],[Ship ID]],Data!E:H,4,0)</f>
        <v>#N/A</v>
      </c>
      <c r="H163" t="e">
        <f>+VLOOKUP(Table1[[#This Row],[Ship ID]],Data!E:J,6,0)</f>
        <v>#N/A</v>
      </c>
      <c r="I163" s="7" t="e">
        <f>VLOOKUP(Table1[[#This Row],[Ship ID]],Data!E:AB,24,0)</f>
        <v>#N/A</v>
      </c>
    </row>
    <row r="164" spans="1:9" x14ac:dyDescent="0.25">
      <c r="A164" s="1">
        <f>+Data!E164</f>
        <v>0</v>
      </c>
      <c r="B164" t="e">
        <f>VLOOKUP(A164,Data!E:G,3,0)</f>
        <v>#N/A</v>
      </c>
      <c r="C164" t="e">
        <f>VLOOKUP(A164,Data!E:N,10,0)</f>
        <v>#N/A</v>
      </c>
      <c r="D164" s="3" t="e">
        <f>VLOOKUP(A164,Data!E:R,14,0)</f>
        <v>#N/A</v>
      </c>
      <c r="E164" t="e">
        <f t="shared" si="2"/>
        <v>#N/A</v>
      </c>
      <c r="F164" t="e">
        <f>+VLOOKUP(A164,Data!E:O,11,0)</f>
        <v>#N/A</v>
      </c>
      <c r="G164" t="e">
        <f>VLOOKUP(Table1[[#This Row],[Ship ID]],Data!E:H,4,0)</f>
        <v>#N/A</v>
      </c>
      <c r="H164" t="e">
        <f>+VLOOKUP(Table1[[#This Row],[Ship ID]],Data!E:J,6,0)</f>
        <v>#N/A</v>
      </c>
      <c r="I164" s="7" t="e">
        <f>VLOOKUP(Table1[[#This Row],[Ship ID]],Data!E:AB,24,0)</f>
        <v>#N/A</v>
      </c>
    </row>
    <row r="165" spans="1:9" x14ac:dyDescent="0.25">
      <c r="A165" s="1">
        <f>+Data!E165</f>
        <v>0</v>
      </c>
      <c r="B165" t="e">
        <f>VLOOKUP(A165,Data!E:G,3,0)</f>
        <v>#N/A</v>
      </c>
      <c r="C165" t="e">
        <f>VLOOKUP(A165,Data!E:N,10,0)</f>
        <v>#N/A</v>
      </c>
      <c r="D165" s="3" t="e">
        <f>VLOOKUP(A165,Data!E:R,14,0)</f>
        <v>#N/A</v>
      </c>
      <c r="E165" t="e">
        <f t="shared" si="2"/>
        <v>#N/A</v>
      </c>
      <c r="F165" t="e">
        <f>+VLOOKUP(A165,Data!E:O,11,0)</f>
        <v>#N/A</v>
      </c>
      <c r="G165" t="e">
        <f>VLOOKUP(Table1[[#This Row],[Ship ID]],Data!E:H,4,0)</f>
        <v>#N/A</v>
      </c>
      <c r="H165" t="e">
        <f>+VLOOKUP(Table1[[#This Row],[Ship ID]],Data!E:J,6,0)</f>
        <v>#N/A</v>
      </c>
      <c r="I165" s="7" t="e">
        <f>VLOOKUP(Table1[[#This Row],[Ship ID]],Data!E:AB,24,0)</f>
        <v>#N/A</v>
      </c>
    </row>
    <row r="166" spans="1:9" x14ac:dyDescent="0.25">
      <c r="A166" s="1">
        <f>+Data!E166</f>
        <v>0</v>
      </c>
      <c r="B166" t="e">
        <f>VLOOKUP(A166,Data!E:G,3,0)</f>
        <v>#N/A</v>
      </c>
      <c r="C166" t="e">
        <f>VLOOKUP(A166,Data!E:N,10,0)</f>
        <v>#N/A</v>
      </c>
      <c r="D166" s="3" t="e">
        <f>VLOOKUP(A166,Data!E:R,14,0)</f>
        <v>#N/A</v>
      </c>
      <c r="E166" t="e">
        <f t="shared" si="2"/>
        <v>#N/A</v>
      </c>
      <c r="F166" t="e">
        <f>+VLOOKUP(A166,Data!E:O,11,0)</f>
        <v>#N/A</v>
      </c>
      <c r="G166" t="e">
        <f>VLOOKUP(Table1[[#This Row],[Ship ID]],Data!E:H,4,0)</f>
        <v>#N/A</v>
      </c>
      <c r="H166" t="e">
        <f>+VLOOKUP(Table1[[#This Row],[Ship ID]],Data!E:J,6,0)</f>
        <v>#N/A</v>
      </c>
      <c r="I166" s="7" t="e">
        <f>VLOOKUP(Table1[[#This Row],[Ship ID]],Data!E:AB,24,0)</f>
        <v>#N/A</v>
      </c>
    </row>
    <row r="167" spans="1:9" x14ac:dyDescent="0.25">
      <c r="A167" s="1">
        <f>+Data!E167</f>
        <v>0</v>
      </c>
      <c r="B167" t="e">
        <f>VLOOKUP(A167,Data!E:G,3,0)</f>
        <v>#N/A</v>
      </c>
      <c r="C167" t="e">
        <f>VLOOKUP(A167,Data!E:N,10,0)</f>
        <v>#N/A</v>
      </c>
      <c r="D167" s="3" t="e">
        <f>VLOOKUP(A167,Data!E:R,14,0)</f>
        <v>#N/A</v>
      </c>
      <c r="E167" t="e">
        <f t="shared" si="2"/>
        <v>#N/A</v>
      </c>
      <c r="F167" t="e">
        <f>+VLOOKUP(A167,Data!E:O,11,0)</f>
        <v>#N/A</v>
      </c>
      <c r="G167" t="e">
        <f>VLOOKUP(Table1[[#This Row],[Ship ID]],Data!E:H,4,0)</f>
        <v>#N/A</v>
      </c>
      <c r="H167" t="e">
        <f>+VLOOKUP(Table1[[#This Row],[Ship ID]],Data!E:J,6,0)</f>
        <v>#N/A</v>
      </c>
      <c r="I167" s="7" t="e">
        <f>VLOOKUP(Table1[[#This Row],[Ship ID]],Data!E:AB,24,0)</f>
        <v>#N/A</v>
      </c>
    </row>
    <row r="168" spans="1:9" x14ac:dyDescent="0.25">
      <c r="A168" s="1">
        <f>+Data!E168</f>
        <v>0</v>
      </c>
      <c r="B168" t="e">
        <f>VLOOKUP(A168,Data!E:G,3,0)</f>
        <v>#N/A</v>
      </c>
      <c r="C168" t="e">
        <f>VLOOKUP(A168,Data!E:N,10,0)</f>
        <v>#N/A</v>
      </c>
      <c r="D168" s="3" t="e">
        <f>VLOOKUP(A168,Data!E:R,14,0)</f>
        <v>#N/A</v>
      </c>
      <c r="E168" t="e">
        <f t="shared" si="2"/>
        <v>#N/A</v>
      </c>
      <c r="F168" t="e">
        <f>+VLOOKUP(A168,Data!E:O,11,0)</f>
        <v>#N/A</v>
      </c>
      <c r="G168" t="e">
        <f>VLOOKUP(Table1[[#This Row],[Ship ID]],Data!E:H,4,0)</f>
        <v>#N/A</v>
      </c>
      <c r="H168" t="e">
        <f>+VLOOKUP(Table1[[#This Row],[Ship ID]],Data!E:J,6,0)</f>
        <v>#N/A</v>
      </c>
      <c r="I168" s="7" t="e">
        <f>VLOOKUP(Table1[[#This Row],[Ship ID]],Data!E:AB,24,0)</f>
        <v>#N/A</v>
      </c>
    </row>
    <row r="169" spans="1:9" x14ac:dyDescent="0.25">
      <c r="A169" s="1">
        <f>+Data!E169</f>
        <v>0</v>
      </c>
      <c r="B169" t="e">
        <f>VLOOKUP(A169,Data!E:G,3,0)</f>
        <v>#N/A</v>
      </c>
      <c r="C169" t="e">
        <f>VLOOKUP(A169,Data!E:N,10,0)</f>
        <v>#N/A</v>
      </c>
      <c r="D169" s="3" t="e">
        <f>VLOOKUP(A169,Data!E:R,14,0)</f>
        <v>#N/A</v>
      </c>
      <c r="E169" t="e">
        <f t="shared" si="2"/>
        <v>#N/A</v>
      </c>
      <c r="F169" t="e">
        <f>+VLOOKUP(A169,Data!E:O,11,0)</f>
        <v>#N/A</v>
      </c>
      <c r="G169" t="e">
        <f>VLOOKUP(Table1[[#This Row],[Ship ID]],Data!E:H,4,0)</f>
        <v>#N/A</v>
      </c>
      <c r="H169" t="e">
        <f>+VLOOKUP(Table1[[#This Row],[Ship ID]],Data!E:J,6,0)</f>
        <v>#N/A</v>
      </c>
      <c r="I169" s="7" t="e">
        <f>VLOOKUP(Table1[[#This Row],[Ship ID]],Data!E:AB,24,0)</f>
        <v>#N/A</v>
      </c>
    </row>
    <row r="170" spans="1:9" x14ac:dyDescent="0.25">
      <c r="A170" s="1">
        <f>+Data!E170</f>
        <v>0</v>
      </c>
      <c r="B170" t="e">
        <f>VLOOKUP(A170,Data!E:G,3,0)</f>
        <v>#N/A</v>
      </c>
      <c r="C170" t="e">
        <f>VLOOKUP(A170,Data!E:N,10,0)</f>
        <v>#N/A</v>
      </c>
      <c r="D170" s="3" t="e">
        <f>VLOOKUP(A170,Data!E:R,14,0)</f>
        <v>#N/A</v>
      </c>
      <c r="E170" t="e">
        <f t="shared" si="2"/>
        <v>#N/A</v>
      </c>
      <c r="F170" t="e">
        <f>+VLOOKUP(A170,Data!E:O,11,0)</f>
        <v>#N/A</v>
      </c>
      <c r="G170" t="e">
        <f>VLOOKUP(Table1[[#This Row],[Ship ID]],Data!E:H,4,0)</f>
        <v>#N/A</v>
      </c>
      <c r="H170" t="e">
        <f>+VLOOKUP(Table1[[#This Row],[Ship ID]],Data!E:J,6,0)</f>
        <v>#N/A</v>
      </c>
      <c r="I170" s="7" t="e">
        <f>VLOOKUP(Table1[[#This Row],[Ship ID]],Data!E:AB,24,0)</f>
        <v>#N/A</v>
      </c>
    </row>
    <row r="171" spans="1:9" x14ac:dyDescent="0.25">
      <c r="A171" s="1">
        <f>+Data!E171</f>
        <v>0</v>
      </c>
      <c r="B171" t="e">
        <f>VLOOKUP(A171,Data!E:G,3,0)</f>
        <v>#N/A</v>
      </c>
      <c r="C171" t="e">
        <f>VLOOKUP(A171,Data!E:N,10,0)</f>
        <v>#N/A</v>
      </c>
      <c r="D171" s="3" t="e">
        <f>VLOOKUP(A171,Data!E:R,14,0)</f>
        <v>#N/A</v>
      </c>
      <c r="E171" t="e">
        <f t="shared" si="2"/>
        <v>#N/A</v>
      </c>
      <c r="F171" t="e">
        <f>+VLOOKUP(A171,Data!E:O,11,0)</f>
        <v>#N/A</v>
      </c>
      <c r="G171" t="e">
        <f>VLOOKUP(Table1[[#This Row],[Ship ID]],Data!E:H,4,0)</f>
        <v>#N/A</v>
      </c>
      <c r="H171" t="e">
        <f>+VLOOKUP(Table1[[#This Row],[Ship ID]],Data!E:J,6,0)</f>
        <v>#N/A</v>
      </c>
      <c r="I171" s="7" t="e">
        <f>VLOOKUP(Table1[[#This Row],[Ship ID]],Data!E:AB,24,0)</f>
        <v>#N/A</v>
      </c>
    </row>
    <row r="172" spans="1:9" x14ac:dyDescent="0.25">
      <c r="A172" s="1">
        <f>+Data!E172</f>
        <v>0</v>
      </c>
      <c r="B172" t="e">
        <f>VLOOKUP(A172,Data!E:G,3,0)</f>
        <v>#N/A</v>
      </c>
      <c r="C172" t="e">
        <f>VLOOKUP(A172,Data!E:N,10,0)</f>
        <v>#N/A</v>
      </c>
      <c r="D172" s="3" t="e">
        <f>VLOOKUP(A172,Data!E:R,14,0)</f>
        <v>#N/A</v>
      </c>
      <c r="E172" t="e">
        <f t="shared" si="2"/>
        <v>#N/A</v>
      </c>
      <c r="F172" t="e">
        <f>+VLOOKUP(A172,Data!E:O,11,0)</f>
        <v>#N/A</v>
      </c>
      <c r="G172" t="e">
        <f>VLOOKUP(Table1[[#This Row],[Ship ID]],Data!E:H,4,0)</f>
        <v>#N/A</v>
      </c>
      <c r="H172" t="e">
        <f>+VLOOKUP(Table1[[#This Row],[Ship ID]],Data!E:J,6,0)</f>
        <v>#N/A</v>
      </c>
      <c r="I172" s="7" t="e">
        <f>VLOOKUP(Table1[[#This Row],[Ship ID]],Data!E:AB,24,0)</f>
        <v>#N/A</v>
      </c>
    </row>
    <row r="173" spans="1:9" x14ac:dyDescent="0.25">
      <c r="A173" s="1">
        <f>+Data!E173</f>
        <v>0</v>
      </c>
      <c r="B173" t="e">
        <f>VLOOKUP(A173,Data!E:G,3,0)</f>
        <v>#N/A</v>
      </c>
      <c r="C173" t="e">
        <f>VLOOKUP(A173,Data!E:N,10,0)</f>
        <v>#N/A</v>
      </c>
      <c r="D173" s="3" t="e">
        <f>VLOOKUP(A173,Data!E:R,14,0)</f>
        <v>#N/A</v>
      </c>
      <c r="E173" t="e">
        <f t="shared" si="2"/>
        <v>#N/A</v>
      </c>
      <c r="F173" t="e">
        <f>+VLOOKUP(A173,Data!E:O,11,0)</f>
        <v>#N/A</v>
      </c>
      <c r="G173" t="e">
        <f>VLOOKUP(Table1[[#This Row],[Ship ID]],Data!E:H,4,0)</f>
        <v>#N/A</v>
      </c>
      <c r="H173" t="e">
        <f>+VLOOKUP(Table1[[#This Row],[Ship ID]],Data!E:J,6,0)</f>
        <v>#N/A</v>
      </c>
      <c r="I173" s="7" t="e">
        <f>VLOOKUP(Table1[[#This Row],[Ship ID]],Data!E:AB,24,0)</f>
        <v>#N/A</v>
      </c>
    </row>
  </sheetData>
  <conditionalFormatting sqref="E2:E173">
    <cfRule type="containsText" dxfId="17" priority="8" operator="containsText" text="AM">
      <formula>NOT(ISERROR(SEARCH("AM",E2)))</formula>
    </cfRule>
    <cfRule type="containsText" dxfId="16" priority="9" operator="containsText" text="MA">
      <formula>NOT(ISERROR(SEARCH("MA",E2)))</formula>
    </cfRule>
  </conditionalFormatting>
  <pageMargins left="0.7" right="0.7" top="0.75" bottom="0.75" header="0.3" footer="0.3"/>
  <pageSetup scale="81" fitToHeight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CD">
                <anchor moveWithCells="1" sizeWithCells="1">
                  <from>
                    <xdr:col>9</xdr:col>
                    <xdr:colOff>114300</xdr:colOff>
                    <xdr:row>2</xdr:row>
                    <xdr:rowOff>57150</xdr:rowOff>
                  </from>
                  <to>
                    <xdr:col>9</xdr:col>
                    <xdr:colOff>476250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Data</vt:lpstr>
      <vt:lpstr>Workload</vt:lpstr>
      <vt:lpstr>Workload!Zone_d_impression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William Rosset</cp:lastModifiedBy>
  <cp:lastPrinted>2021-06-04T03:41:36Z</cp:lastPrinted>
  <dcterms:created xsi:type="dcterms:W3CDTF">2019-04-08T12:01:23Z</dcterms:created>
  <dcterms:modified xsi:type="dcterms:W3CDTF">2021-09-28T11:39:05Z</dcterms:modified>
</cp:coreProperties>
</file>